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rkpaulsen/Desktop/MCP Decks/"/>
    </mc:Choice>
  </mc:AlternateContent>
  <xr:revisionPtr revIDLastSave="0" documentId="8_{2DAF375D-20D8-9544-AB97-36208C185F29}" xr6:coauthVersionLast="36" xr6:coauthVersionMax="36" xr10:uidLastSave="{00000000-0000-0000-0000-000000000000}"/>
  <bookViews>
    <workbookView xWindow="0" yWindow="500" windowWidth="33600" windowHeight="19300" xr2:uid="{00000000-000D-0000-FFFF-FFFF00000000}"/>
  </bookViews>
  <sheets>
    <sheet name="Risk &amp; Controls Matrix" sheetId="1" r:id="rId1"/>
    <sheet name="Guardrail Overview" sheetId="2" r:id="rId2"/>
    <sheet name="Framework Crosswalk" sheetId="3" r:id="rId3"/>
    <sheet name="Risk Rating Template" sheetId="4" r:id="rId4"/>
    <sheet name="Method &amp; Notes" sheetId="5" r:id="rId5"/>
    <sheet name="Framework References" sheetId="6" r:id="rId6"/>
  </sheets>
  <definedNames>
    <definedName name="_xlnm._FilterDatabase" localSheetId="2" hidden="1">'Framework Crosswalk'!$A$4:$F$164</definedName>
    <definedName name="_xlnm._FilterDatabase" localSheetId="0" hidden="1">'Risk &amp; Controls Matrix'!$A$4:$Q$20</definedName>
  </definedNames>
  <calcPr calcId="181029"/>
  <fileRecoveryPr repairLoad="1"/>
</workbook>
</file>

<file path=xl/calcChain.xml><?xml version="1.0" encoding="utf-8"?>
<calcChain xmlns="http://schemas.openxmlformats.org/spreadsheetml/2006/main">
  <c r="F20" i="4" l="1"/>
  <c r="H20" i="4" s="1"/>
  <c r="F19" i="4"/>
  <c r="H19" i="4" s="1"/>
  <c r="F18" i="4"/>
  <c r="H18" i="4" s="1"/>
  <c r="F17" i="4"/>
  <c r="H17" i="4" s="1"/>
  <c r="F16" i="4"/>
  <c r="H16" i="4" s="1"/>
  <c r="F15" i="4"/>
  <c r="H15" i="4" s="1"/>
  <c r="F14" i="4"/>
  <c r="H14" i="4" s="1"/>
  <c r="F13" i="4"/>
  <c r="H13" i="4" s="1"/>
  <c r="F12" i="4"/>
  <c r="H12" i="4" s="1"/>
  <c r="F11" i="4"/>
  <c r="H11" i="4" s="1"/>
  <c r="F10" i="4"/>
  <c r="H10" i="4" s="1"/>
  <c r="F9" i="4"/>
  <c r="H9" i="4" s="1"/>
  <c r="F8" i="4"/>
  <c r="H8" i="4" s="1"/>
  <c r="F7" i="4"/>
  <c r="H7" i="4" s="1"/>
  <c r="F6" i="4"/>
  <c r="H6" i="4" s="1"/>
  <c r="F5" i="4"/>
  <c r="H5" i="4" s="1"/>
</calcChain>
</file>

<file path=xl/sharedStrings.xml><?xml version="1.0" encoding="utf-8"?>
<sst xmlns="http://schemas.openxmlformats.org/spreadsheetml/2006/main" count="1420" uniqueCount="369">
  <si>
    <t>Agentic Mesh Risk &amp; Controls Framework — Gateway Registry + Four Production Guardrails</t>
  </si>
  <si>
    <t>ID</t>
  </si>
  <si>
    <t>Guardrail</t>
  </si>
  <si>
    <t>Summary item</t>
  </si>
  <si>
    <t>Risk description</t>
  </si>
  <si>
    <t>Control objective</t>
  </si>
  <si>
    <t>Control activities</t>
  </si>
  <si>
    <t>Audit evidence</t>
  </si>
  <si>
    <t>COBIT 2019</t>
  </si>
  <si>
    <t>NIST CSF 2.0</t>
  </si>
  <si>
    <t>NIST AI RMF</t>
  </si>
  <si>
    <t>ISO/IEC 27001</t>
  </si>
  <si>
    <t>ISO/IEC 42001</t>
  </si>
  <si>
    <t>EU AI Act</t>
  </si>
  <si>
    <t>DORA</t>
  </si>
  <si>
    <t>GDPR</t>
  </si>
  <si>
    <t>SOX</t>
  </si>
  <si>
    <t>EU Cyber Resilience Act (CRA)</t>
  </si>
  <si>
    <t>I-01</t>
  </si>
  <si>
    <t>Identity</t>
  </si>
  <si>
    <t>Agent identity cannot be reliably attributed</t>
  </si>
  <si>
    <t>Shared service accounts, API keys, or unsigned requests make it difficult to establish which agent instance initiated a consequential action. This weakens non-repudiation, incident response, access review, and accountability.</t>
  </si>
  <si>
    <t>Every consequential invocation is bound to a cryptographically verifiable agent principal.</t>
  </si>
  <si>
    <t>Require signed SPIFFE/SPIRE, OAuth 2.1, mTLS/X.509, or equivalent identity at the gateway; bind identity to agent/version/time/policy context; reject invalid or revoked assertions.</t>
  </si>
  <si>
    <t>Signed identity assertion; certificate/token validation result; gateway decision; revocation record</t>
  </si>
  <si>
    <t>DSS05.04; APO13; APO12</t>
  </si>
  <si>
    <t>PR.AA; GV</t>
  </si>
  <si>
    <t>Govern; Map; Manage</t>
  </si>
  <si>
    <t>Access control / identity; logging and monitoring</t>
  </si>
  <si>
    <t>AI governance; AI risk management; traceability</t>
  </si>
  <si>
    <t>Traceability, cybersecurity and accountability where applicable</t>
  </si>
  <si>
    <t>Identity/access controls; logging and ICT risk management</t>
  </si>
  <si>
    <t>Security of processing; accountability where personal data is involved</t>
  </si>
  <si>
    <t>ITGC access/accountability for in-scope financial reporting</t>
  </si>
  <si>
    <t>Product cybersecurity and access/control evidence where applicable</t>
  </si>
  <si>
    <t>I-02</t>
  </si>
  <si>
    <t>Credentials are shared, long-lived, or insufficiently scoped</t>
  </si>
  <si>
    <t>Long-lived bearer credentials or shared identities increase the blast radius of compromise and make it difficult to distinguish legitimate agent activity from credential misuse.</t>
  </si>
  <si>
    <t>Agent credentials are short-lived, uniquely attributable, and scoped to the minimum required trust domain.</t>
  </si>
  <si>
    <t>Use workload identity and short-lived tokens; prohibit shared agent credentials; bind tokens to audience, scope, expiry, and issuer; rotate and revoke credentials centrally.</t>
  </si>
  <si>
    <t>Token issuance/expiry records; credential rotation evidence; scope policy; revocation events</t>
  </si>
  <si>
    <t>DSS05.04; APO13; DSS05.07</t>
  </si>
  <si>
    <t>PR.AA; PR.AT; DE.CM</t>
  </si>
  <si>
    <t>Govern; Manage</t>
  </si>
  <si>
    <t>Identity management; authentication information; access rights</t>
  </si>
  <si>
    <t>AI system governance and risk controls</t>
  </si>
  <si>
    <t>Cybersecurity and access control where applicable</t>
  </si>
  <si>
    <t>Logical access, identity management and ICT security</t>
  </si>
  <si>
    <t>Security of processing; data minimisation by design where relevant</t>
  </si>
  <si>
    <t>Logical access controls for in-scope systems</t>
  </si>
  <si>
    <t>Secure-by-design access and vulnerability management where applicable</t>
  </si>
  <si>
    <t>I-03</t>
  </si>
  <si>
    <t>Identity is not bound to agent version or policy state</t>
  </si>
  <si>
    <t>An identity may remain valid while the underlying agent, model, tool manifest, or policy context has changed, undermining the ability to prove what software and rules were in effect.</t>
  </si>
  <si>
    <t>Identity assertions are bound to the runtime version and relevant policy state.</t>
  </si>
  <si>
    <t>Include agent/software version, model identifier where applicable, policy hash/version, issuer, timestamp, and expiry in the attestation or signed invocation context.</t>
  </si>
  <si>
    <t>Signed assertion; version manifest; policy hash; timestamped gateway record</t>
  </si>
  <si>
    <t>BAI10; DSS05.04; APO12</t>
  </si>
  <si>
    <t>PR.AA; PR.PS; DE.CM</t>
  </si>
  <si>
    <t>Map; Measure; Manage</t>
  </si>
  <si>
    <t>Configuration management; access control; logging</t>
  </si>
  <si>
    <t>AI system lifecycle and configuration governance</t>
  </si>
  <si>
    <t>Documentation, logging and traceability where applicable</t>
  </si>
  <si>
    <t>Change management; configuration; logging</t>
  </si>
  <si>
    <t>Accountability and security of processing where relevant</t>
  </si>
  <si>
    <t>Change/access evidence for in-scope applications</t>
  </si>
  <si>
    <t>Product/component configuration and vulnerability traceability where applicable</t>
  </si>
  <si>
    <t>I-04</t>
  </si>
  <si>
    <t>Delegation chain cannot be established</t>
  </si>
  <si>
    <t>When an agent acts on behalf of a user, another agent, or an orchestrator, the enterprise cannot reliably reconstruct who authorized the action or how authority was delegated.</t>
  </si>
  <si>
    <t>Delegated authority is explicit, bounded, and cryptographically traceable.</t>
  </si>
  <si>
    <t>Record parent/child agent relationships, user or service delegator, audience, scope, expiry, and approval context; prevent privilege inheritance beyond the delegation boundary.</t>
  </si>
  <si>
    <t>Delegation token/claim; chain-of-custody record; approval reference; gateway decision</t>
  </si>
  <si>
    <t>DSS05.04; DSS06; APO12</t>
  </si>
  <si>
    <t>PR.AA; GV.RM; DE.CM</t>
  </si>
  <si>
    <t>Access control; segregation of duties; logging</t>
  </si>
  <si>
    <t>Governance, accountability and human oversight</t>
  </si>
  <si>
    <t>Human oversight and traceability where applicable</t>
  </si>
  <si>
    <t>Logical access; identity management; logging</t>
  </si>
  <si>
    <t>Accountability; security of processing</t>
  </si>
  <si>
    <t>Authorization and segregation of duties for in-scope transactions</t>
  </si>
  <si>
    <t>Access/control accountability where applicable</t>
  </si>
  <si>
    <t>R-01</t>
  </si>
  <si>
    <t>RBAC</t>
  </si>
  <si>
    <t>Static permissions persist beyond business need</t>
  </si>
  <si>
    <t>Standing permissions granted to an agent can outlive the task, transaction, or business context that justified them, increasing the opportunity for misuse or lateral movement.</t>
  </si>
  <si>
    <t>Permissions are dynamic, least-privilege, scoped, and time-bound.</t>
  </si>
  <si>
    <t>Apply JIT/JEA-style authorization; constrain permissions by tool, resource, action, time, transaction, and risk tier; automatically expire elevated privileges.</t>
  </si>
  <si>
    <t>Authorization decision; scope/TTL; policy version; privilege expiry event</t>
  </si>
  <si>
    <t>PR.AA; PR.PS; GV.RM</t>
  </si>
  <si>
    <t>Map; Manage</t>
  </si>
  <si>
    <t>Access rights; least privilege; privileged access</t>
  </si>
  <si>
    <t>AI risk management and operational controls</t>
  </si>
  <si>
    <t>Risk mitigation and cybersecurity where applicable</t>
  </si>
  <si>
    <t>Access control; ICT risk management</t>
  </si>
  <si>
    <t>Data minimisation; security of processing</t>
  </si>
  <si>
    <t>Least privilege and access recertification</t>
  </si>
  <si>
    <t>Least privilege and secure access where applicable</t>
  </si>
  <si>
    <t>R-02</t>
  </si>
  <si>
    <t>Authorization ignores runtime context</t>
  </si>
  <si>
    <t>A role-only model may allow actions that are inappropriate for the current user, data sensitivity, transaction value, market state, device posture, or agent risk condition.</t>
  </si>
  <si>
    <t>Authorization decisions evaluate relevant runtime context in addition to role and entitlement.</t>
  </si>
  <si>
    <t>Make the gateway the policy enforcement point; evaluate identity, role, resource classification, transaction context, risk signals, time, and environmental conditions before allowing calls.</t>
  </si>
  <si>
    <t>Policy input snapshot; decision trace; matched policy rule; denied-call record</t>
  </si>
  <si>
    <t>APO12; APO13; DSS05.04; DSS06</t>
  </si>
  <si>
    <t>PR.AA; PR.DS; GV.RM; DE.CM</t>
  </si>
  <si>
    <t>Access control; information classification; monitoring</t>
  </si>
  <si>
    <t>AI risk management and context-aware controls</t>
  </si>
  <si>
    <t>Risk management and cybersecurity where applicable</t>
  </si>
  <si>
    <t>ICT risk controls; access; monitoring</t>
  </si>
  <si>
    <t>Security and data protection by design where personal data is involved</t>
  </si>
  <si>
    <t>Transaction authorization and access controls</t>
  </si>
  <si>
    <t>Contextual cybersecurity controls where applicable</t>
  </si>
  <si>
    <t>R-03</t>
  </si>
  <si>
    <t>High-impact actions lack step-up or human approval</t>
  </si>
  <si>
    <t>An agent may execute irreversible, financially material, or safety-critical actions without an appropriate human approval or stronger authentication step.</t>
  </si>
  <si>
    <t>High-impact actions require risk-proportionate step-up controls and human approval where required.</t>
  </si>
  <si>
    <t>Classify tools/actions by impact; require step-up authentication and/or explicit human approval for high-risk operations such as trade execution, payment release, or destructive changes.</t>
  </si>
  <si>
    <t>Approval event; approver identity; step-up authentication; transaction risk classification</t>
  </si>
  <si>
    <t>DSS06; DSS05.04; EDM03</t>
  </si>
  <si>
    <t>PR.AA; GV.RM; PR.PS</t>
  </si>
  <si>
    <t>Privileged access; segregation of duties; authentication</t>
  </si>
  <si>
    <t>Human oversight; risk treatment</t>
  </si>
  <si>
    <t>Human oversight and risk mitigation where applicable</t>
  </si>
  <si>
    <t>Access controls; operational resilience; transaction controls</t>
  </si>
  <si>
    <t>Appropriate safeguards where personal data is involved</t>
  </si>
  <si>
    <t>Management approval and segregation of duties for in-scope transactions</t>
  </si>
  <si>
    <t>Human control and secure operation where applicable</t>
  </si>
  <si>
    <t>R-04</t>
  </si>
  <si>
    <t>Policy enforcement is distributed and inconsistent</t>
  </si>
  <si>
    <t>Different MCP servers or tools may enforce different authorization rules, creating policy gaps and inconsistent outcomes across the agentic mesh.</t>
  </si>
  <si>
    <t>Authorization policy is centrally governed, consistently enforced, versioned, and testable.</t>
  </si>
  <si>
    <t>Use the Gateway Registry as the policy enforcement point; centralize policy-as-code; version, approve, test, and deploy policies through controlled change processes.</t>
  </si>
  <si>
    <t>Rego/policy version; approval record; test results; deployment record; gateway decision logs</t>
  </si>
  <si>
    <t>APO12; APO13; BAI10; MEA02</t>
  </si>
  <si>
    <t>GV.PO; PR.PS; DE.CM</t>
  </si>
  <si>
    <t>Policy management; configuration/change control; monitoring</t>
  </si>
  <si>
    <t>AI governance; operational control; continual improvement</t>
  </si>
  <si>
    <t>Governance, risk management and logging where applicable</t>
  </si>
  <si>
    <t>ICT change/configuration; logging; governance</t>
  </si>
  <si>
    <t>Accountability and privacy by design where relevant</t>
  </si>
  <si>
    <t>ITGC change management and access governance</t>
  </si>
  <si>
    <t>Secure development/change and vulnerability management where applicable</t>
  </si>
  <si>
    <t>P-01</t>
  </si>
  <si>
    <t>SPDX / AgBOM Provenance</t>
  </si>
  <si>
    <t>Static SBOM does not reflect runtime agent composition</t>
  </si>
  <si>
    <t>A build-time SBOM can become stale when agents dynamically select tools, models, prompts, plugins, or services at runtime, leaving the effective execution supply chain unknown.</t>
  </si>
  <si>
    <t>Runtime composition is represented in an attestable agent/software bill of materials.</t>
  </si>
  <si>
    <t>Use SPDX 3.1 AI Profile and/or equivalent AgBOM structures to record models, tools, datasets, prompts, agents, dependencies, relationships, and relevant versions.</t>
  </si>
  <si>
    <t>Signed AgBOM; SPDX package/relationship records; runtime composition snapshot</t>
  </si>
  <si>
    <t>APO14; BAI10; APO12</t>
  </si>
  <si>
    <t>ID.AM; PR.PS; DE.CM</t>
  </si>
  <si>
    <t>Asset/configuration management; supplier/security information</t>
  </si>
  <si>
    <t>AI system inventory, lifecycle and risk management</t>
  </si>
  <si>
    <t>Technical documentation, traceability and logging where applicable</t>
  </si>
  <si>
    <t>ICT asset management; change management; logging</t>
  </si>
  <si>
    <t>Accountability and records of processing where relevant</t>
  </si>
  <si>
    <t>Application/component inventory for in-scope systems</t>
  </si>
  <si>
    <t>Software component inventory and vulnerability handling where applicable</t>
  </si>
  <si>
    <t>P-02</t>
  </si>
  <si>
    <t>Model, prompt, and tool manifest is not versioned</t>
  </si>
  <si>
    <t>Without versioned manifests, an organization cannot establish which model, prompt, tool definition, or dependency was available to the agent when a consequential decision occurred.</t>
  </si>
  <si>
    <t>The effective agent composition is versioned and linked to each consequential invocation.</t>
  </si>
  <si>
    <t>Generate immutable versioned manifests; hash critical artifacts; bind manifest identifiers to the signed invocation and policy state.</t>
  </si>
  <si>
    <t>Manifest hash; model/tool/prompt versions; invocation linkage; attestation</t>
  </si>
  <si>
    <t>BAI10; APO14; DSS06</t>
  </si>
  <si>
    <t>Map; Measure</t>
  </si>
  <si>
    <t>Configuration management; change management</t>
  </si>
  <si>
    <t>AI lifecycle, documentation and traceability</t>
  </si>
  <si>
    <t>Documentation and logging where applicable</t>
  </si>
  <si>
    <t>Configuration/change management; logging</t>
  </si>
  <si>
    <t>Accountability where automated processing uses personal data</t>
  </si>
  <si>
    <t>Change evidence for in-scope applications/models</t>
  </si>
  <si>
    <t>Component/version traceability where applicable</t>
  </si>
  <si>
    <t>P-03</t>
  </si>
  <si>
    <t>Runtime state cannot be attested</t>
  </si>
  <si>
    <t>The organization can describe the intended system but cannot prove the actual model/tool/dependency state that executed at the time of an event.</t>
  </si>
  <si>
    <t>Runtime execution state is captured as a tamper-evident attestation.</t>
  </si>
  <si>
    <t>Create signed, timestamped attestations for the effective agent composition and execution context; chain attestations to the gateway evidence record.</t>
  </si>
  <si>
    <t>Signed attestation; timestamp; digest/hash; chain reference; verification result</t>
  </si>
  <si>
    <t>BAI10; MEA04; APO12</t>
  </si>
  <si>
    <t>PR.PS; DE.CM; RS.AN</t>
  </si>
  <si>
    <t>Measure; Manage</t>
  </si>
  <si>
    <t>Logging; configuration integrity; monitoring</t>
  </si>
  <si>
    <t>Traceability, monitoring and documented information</t>
  </si>
  <si>
    <t>Logging and traceability where applicable</t>
  </si>
  <si>
    <t>Logging, integrity and ICT operations</t>
  </si>
  <si>
    <t>Accountability and security where relevant</t>
  </si>
  <si>
    <t>Evidence integrity and audit trail for in-scope systems</t>
  </si>
  <si>
    <t>Integrity and component traceability where applicable</t>
  </si>
  <si>
    <t>P-04</t>
  </si>
  <si>
    <t>Supply-chain or license changes are invisible</t>
  </si>
  <si>
    <t>Changes in third-party models, tools, packages, licenses, or dependencies may introduce security, contractual, or compliance exposure without triggering review.</t>
  </si>
  <si>
    <t>Material component and dependency changes are discoverable and risk-assessed.</t>
  </si>
  <si>
    <t>Compare AgBOMs across versions; flag material changes; integrate vulnerability, license, supplier, and policy checks into admission/change workflows.</t>
  </si>
  <si>
    <t>AgBOM diff; vulnerability/license scan; supplier assessment; approval/exception record</t>
  </si>
  <si>
    <t>APO10; APO14; BAI10; APO12</t>
  </si>
  <si>
    <t>ID.RA; ID.AM; PR.PS; DE.CM</t>
  </si>
  <si>
    <t>Supplier relationships; vulnerability management; configuration</t>
  </si>
  <si>
    <t>AI supply-chain governance and risk management</t>
  </si>
  <si>
    <t>Third-party ICT risk; vulnerability/change management</t>
  </si>
  <si>
    <t>Processor/vendor controls where personal data is involved</t>
  </si>
  <si>
    <t>Third-party/change controls for in-scope systems</t>
  </si>
  <si>
    <t>Vulnerability handling and component transparency where applicable</t>
  </si>
  <si>
    <t>A-01</t>
  </si>
  <si>
    <t>Audit &amp; Evidence</t>
  </si>
  <si>
    <t>Logs do not prove what actually ran</t>
  </si>
  <si>
    <t>Conventional application logs may omit the agent identity, model/tool versions, policy decision, inputs/outputs, approvals, or execution chain needed to reconstruct a consequential action.</t>
  </si>
  <si>
    <t>Every consequential invocation produces a complete, structured evidence record.</t>
  </si>
  <si>
    <t>Create a gateway evidence event containing identity, request, tool/resource, policy decision, relevant version hashes, approval state, timestamp, and outcome; minimize sensitive content while preserving auditability.</t>
  </si>
  <si>
    <t>Structured gateway event; execution outcome; linked identity and attestation references</t>
  </si>
  <si>
    <t>DSS05.07; DSS06; MEA02; MEA04</t>
  </si>
  <si>
    <t>DE.CM; RS.AN; GV</t>
  </si>
  <si>
    <t>Logging and monitoring; incident evidence</t>
  </si>
  <si>
    <t>Monitoring, documented information and traceability</t>
  </si>
  <si>
    <t>Logging for traceability where applicable</t>
  </si>
  <si>
    <t>Article 12 logging and ICT operations evidence</t>
  </si>
  <si>
    <t>Accountability and security; data minimisation in logs</t>
  </si>
  <si>
    <t>Audit trails and ITGC evidence for in-scope systems</t>
  </si>
  <si>
    <t>Security event and vulnerability evidence where applicable</t>
  </si>
  <si>
    <t>A-02</t>
  </si>
  <si>
    <t>Evidence is not bound to identity, policy, and version</t>
  </si>
  <si>
    <t>A log entry without cryptographic or referential links to the agent identity, effective policy, and component manifest cannot reliably establish the conditions under which the action occurred.</t>
  </si>
  <si>
    <t>Evidence is version-bound and linked across identity, policy, provenance, and execution.</t>
  </si>
  <si>
    <t>Use stable identifiers and cryptographic hashes to link gateway decisions, signed identities, policy versions, AgBOM attestations, approvals, and execution results.</t>
  </si>
  <si>
    <t>Evidence graph; hashes/digests; policy ID; AgBOM ID; identity assertion ID</t>
  </si>
  <si>
    <t>BAI10; DSS05.07; MEA04</t>
  </si>
  <si>
    <t>Configuration integrity; logging; monitoring</t>
  </si>
  <si>
    <t>Traceability and documented information</t>
  </si>
  <si>
    <t>Traceability and technical documentation where applicable</t>
  </si>
  <si>
    <t>Logging integrity and change/configuration evidence</t>
  </si>
  <si>
    <t>Evidence linkage and auditability for in-scope controls</t>
  </si>
  <si>
    <t>Component/security traceability where applicable</t>
  </si>
  <si>
    <t>A-03</t>
  </si>
  <si>
    <t>Evidence can be altered or deleted</t>
  </si>
  <si>
    <t>If audit evidence is mutable, insufficiently protected, or retained inconsistently, the organization may be unable to demonstrate what happened after an incident or regulatory inquiry.</t>
  </si>
  <si>
    <t>Evidence is tamper-evident, access-controlled, retained, and independently verifiable.</t>
  </si>
  <si>
    <t>Store immutable or append-only evidence; apply integrity protection and access controls; define retention and legal-hold rules; monitor evidence-store access and failures.</t>
  </si>
  <si>
    <t>Integrity verification; retention policy; access logs; deletion/hold records; backup evidence</t>
  </si>
  <si>
    <t>DSS05.07; MEA02; MEA04; DSS01</t>
  </si>
  <si>
    <t>PR.DS; DE.CM; RS.AN; RC.RP</t>
  </si>
  <si>
    <t>Information protection; logging; retention; access control</t>
  </si>
  <si>
    <t>Documented information; monitoring and continual improvement</t>
  </si>
  <si>
    <t>Logging, documentation and accountability where applicable</t>
  </si>
  <si>
    <t>Logging retention/security and operational resilience</t>
  </si>
  <si>
    <t>Storage limitation, integrity/confidentiality, accountability</t>
  </si>
  <si>
    <t>Record retention and audit evidence integrity for in-scope controls</t>
  </si>
  <si>
    <t>Security evidence and vulnerability records where applicable</t>
  </si>
  <si>
    <t>A-04</t>
  </si>
  <si>
    <t>No regulator- or auditor-ready receipt exists</t>
  </si>
  <si>
    <t>Evidence may exist across disconnected systems but cannot be packaged into a coherent, independently verifiable record of a consequential agent action.</t>
  </si>
  <si>
    <t>Consequential actions produce a portable, verifiable evidence receipt.</t>
  </si>
  <si>
    <t>Generate a Merkle-linked or equivalent tamper-evident receipt containing references to identity, policy decision, AgBOM, approval, execution result, and timestamps; support export to audit/regulatory evidence stores.</t>
  </si>
  <si>
    <t>Signed receipt; Merkle/root hash or equivalent integrity proof; export package; verification result</t>
  </si>
  <si>
    <t>MEA03; MEA04; DSS05.07</t>
  </si>
  <si>
    <t>GV.OV; DE.CM; RS.AN</t>
  </si>
  <si>
    <t>Govern; Measure; Manage</t>
  </si>
  <si>
    <t>Compliance monitoring; logging; assurance evidence</t>
  </si>
  <si>
    <t>Documented information, accountability and assurance</t>
  </si>
  <si>
    <t>Regulatory logging/evidence and operational resilience</t>
  </si>
  <si>
    <t>Accountability and demonstrable compliance where relevant</t>
  </si>
  <si>
    <t>Audit evidence and management review for in-scope controls</t>
  </si>
  <si>
    <t>Technical/security documentation and evidence where applicable</t>
  </si>
  <si>
    <t>Four Production Guardrails</t>
  </si>
  <si>
    <t>What it controls</t>
  </si>
  <si>
    <t>Primary gateway mechanism</t>
  </si>
  <si>
    <t>Typical failure mode</t>
  </si>
  <si>
    <t>Key evidence</t>
  </si>
  <si>
    <t>COBIT</t>
  </si>
  <si>
    <t>NIST / ISO alignment</t>
  </si>
  <si>
    <t>Regulatory relevance</t>
  </si>
  <si>
    <t>Who is the agent principal?</t>
  </si>
  <si>
    <t>SPIFFE/SPIRE, OAuth 2.1, mTLS/X.509, signed assertions</t>
  </si>
  <si>
    <t>Unattributable or shared agent identity</t>
  </si>
  <si>
    <t>Signed identity + validation/revocation evidence</t>
  </si>
  <si>
    <t>DSS05.04; APO13</t>
  </si>
  <si>
    <t>NIST CSF PR.AA; AI RMF Govern/Manage; ISO 27001 access control</t>
  </si>
  <si>
    <t>EU AI Act traceability/cybersecurity where applicable; DORA access/logging; GDPR security/accountability; SOX ITGC</t>
  </si>
  <si>
    <t>What may the agent do, under what context?</t>
  </si>
  <si>
    <t>Gateway policy enforcement point + policy-as-code/Rego</t>
  </si>
  <si>
    <t>Standing privilege, context-blind authorization, inconsistent policy</t>
  </si>
  <si>
    <t>Decision trace + policy version + approval</t>
  </si>
  <si>
    <t>DSS05.04; DSS06; APO12; BAI10</t>
  </si>
  <si>
    <t>NIST PR.AA/PR.PS; AI RMF Map/Manage; ISO 27001 access/change</t>
  </si>
  <si>
    <t>EU AI Act risk controls; DORA access/change; GDPR security/minimisation; SOX authorization</t>
  </si>
  <si>
    <t>What actually composed the agent at runtime?</t>
  </si>
  <si>
    <t>SPDX 3.1 AI Profile / AgBOM + signed attestation</t>
  </si>
  <si>
    <t>Stale SBOM, unknown model/tool/prompt/dependency state</t>
  </si>
  <si>
    <t>Signed AgBOM + hashes + runtime manifest</t>
  </si>
  <si>
    <t>NIST ID.AM/PR.PS; AI RMF Map/Measure; ISO 27001 configuration; ISO 42001 lifecycle</t>
  </si>
  <si>
    <t>EU AI Act documentation/traceability; DORA asset/change; CRA component/vulnerability transparency where applicable</t>
  </si>
  <si>
    <t>Can the action be reconstructed and independently verified?</t>
  </si>
  <si>
    <t>Evidence store + linked receipt / Merkle evidence</t>
  </si>
  <si>
    <t>Logs exist but cannot prove what ran</t>
  </si>
  <si>
    <t>Gateway evidence event + receipt + integrity proof</t>
  </si>
  <si>
    <t>DSS05.07; MEA03/04; DSS06</t>
  </si>
  <si>
    <t>NIST DE.CM/RS.AN; AI RMF Measure/Manage; ISO 27001 logging; ISO 42001 documented info</t>
  </si>
  <si>
    <t>DORA logging; EU AI Act logging/traceability where applicable; GDPR accountability; SOX audit evidence</t>
  </si>
  <si>
    <t>Framework Crosswalk — Risk/Control Alignment</t>
  </si>
  <si>
    <t>Use this sheet to filter by framework and see which agentic-mesh risks/controls are relevant. Mapping language is intentionally conservative.</t>
  </si>
  <si>
    <t>Risk ID</t>
  </si>
  <si>
    <t>Framework</t>
  </si>
  <si>
    <t>Relevant objective / area</t>
  </si>
  <si>
    <t>Mapping note</t>
  </si>
  <si>
    <t>Governance/management objective alignment; commonly relevant objectives include APO12, APO13, APO14, BAI10, DSS05, DSS06, MEA02–04.</t>
  </si>
  <si>
    <t>Outcome alignment across Govern, Identify, Protect, Detect, Respond and Recover; exact subcategory depends on implementation.</t>
  </si>
  <si>
    <t>Alignment to Govern, Map, Measure and Manage; use as an AI risk-management overlay rather than a technical control catalog.</t>
  </si>
  <si>
    <t>Information-security management and control alignment; exact Annex A control applicability depends on the organization's Statement of Applicability.</t>
  </si>
  <si>
    <t>AI Management System alignment covering governance, risk management, lifecycle, monitoring and documented information.</t>
  </si>
  <si>
    <t>Regulatory relevance where the AI system and use case fall within applicable Act obligations; not every agentic workflow is automatically high-risk.</t>
  </si>
  <si>
    <t>Financial-entity ICT risk, access, logging, change, resilience and third-party risk relevance; applicability depends on entity and activity.</t>
  </si>
  <si>
    <t>Relevant where processing involves personal data; exact obligations depend on roles, processing, legal basis and context.</t>
  </si>
  <si>
    <t>Relevant to controls over in-scope financial reporting systems/processes; not a general AI regulation.</t>
  </si>
  <si>
    <t>Relevant primarily to products with digital elements and their cybersecurity/lifecycle obligations; applicability depends on product scope.</t>
  </si>
  <si>
    <t>Risk Rating Template (Optional)</t>
  </si>
  <si>
    <t>The uploaded example uses a five-level severity scale. This sheet provides a simple starting point; populate likelihood/impact based on your enterprise methodology.</t>
  </si>
  <si>
    <t>Likelihood (1–5)</t>
  </si>
  <si>
    <t>Impact (1–5)</t>
  </si>
  <si>
    <t>Inherent risk</t>
  </si>
  <si>
    <t>Control maturity (1–5)</t>
  </si>
  <si>
    <t>Residual risk</t>
  </si>
  <si>
    <t>Method &amp; Notes</t>
  </si>
  <si>
    <t>Topic</t>
  </si>
  <si>
    <t>Guidance</t>
  </si>
  <si>
    <t>Purpose</t>
  </si>
  <si>
    <t>Translate the Gateway Registry Pattern and four production guardrails into an auditable risk/control matrix suitable for enterprise risk, security, architecture and compliance discussions.</t>
  </si>
  <si>
    <t>Four operational guardrails</t>
  </si>
  <si>
    <t>1) Identity  2) RBAC  3) SPDX / AgBOM Provenance  4) Audit &amp; Evidence.</t>
  </si>
  <si>
    <t>Cross-cutting policy plane</t>
  </si>
  <si>
    <t>Governance &amp; Policy is treated as the control plane rather than a fifth guardrail. The Gateway Registry and policy-as-code/Rego provide centralized enforcement, versioning and evidence.</t>
  </si>
  <si>
    <t>KPMG-style structure</t>
  </si>
  <si>
    <t>The workbook mirrors the useful structure of the supplied KPMG-style matrix: summary risk → risk description → control objective/activities → framework mapping → evidence.</t>
  </si>
  <si>
    <t>Framework mapping approach</t>
  </si>
  <si>
    <t>Mappings are deliberately at framework/objective/area level. They should be validated against the organization's actual scope, control library, Statement of Applicability, risk appetite and legal interpretation.</t>
  </si>
  <si>
    <t>Applicability depends on the AI system's role, intended purpose, provider/deployer status and risk classification. The workbook does not classify a particular agent as high-risk.</t>
  </si>
  <si>
    <t>Applicability depends on being a covered financial entity and on the relevant ICT process/service. The workbook highlights areas such as logging, identity, change, ICT risk and third-party risk.</t>
  </si>
  <si>
    <t>Only relevant where personal data is processed. Exact requirements depend on the processing context and organizational roles.</t>
  </si>
  <si>
    <t>Focuses on controls relevant to financial reporting. The mappings are intended for in-scope systems/processes, not all agentic AI.</t>
  </si>
  <si>
    <t>CRA</t>
  </si>
  <si>
    <t>The EU Cyber Resilience Act primarily concerns products with digital elements and their cybersecurity/lifecycle obligations. Applicability should be determined at product level.</t>
  </si>
  <si>
    <t>Evidence principle</t>
  </si>
  <si>
    <t>For consequential actions, the desired evidence chain is: agent identity → policy decision → effective AgBOM/runtime composition → approval (if required) → execution result → tamper-evident receipt.</t>
  </si>
  <si>
    <t>Primary Framework References</t>
  </si>
  <si>
    <t>Reference / publisher</t>
  </si>
  <si>
    <t>Use in this workbook</t>
  </si>
  <si>
    <t>KPMG AI Risk &amp; Controls Matrix</t>
  </si>
  <si>
    <t>KPMG UK</t>
  </si>
  <si>
    <t>Structural inspiration for risk/control matrix fields and COBIT-style mapping.</t>
  </si>
  <si>
    <t>ISACA</t>
  </si>
  <si>
    <t>Governance and management objective alignment.</t>
  </si>
  <si>
    <t>NIST Cybersecurity Framework 2.0</t>
  </si>
  <si>
    <t>NIST</t>
  </si>
  <si>
    <t>Cybersecurity outcome alignment.</t>
  </si>
  <si>
    <t>NIST AI Risk Management Framework 1.0</t>
  </si>
  <si>
    <t>AI risk lifecycle alignment: Govern, Map, Measure, Manage.</t>
  </si>
  <si>
    <t>ISO/IEC 27001:2022</t>
  </si>
  <si>
    <t>ISO/IEC</t>
  </si>
  <si>
    <t>Information security management and control alignment.</t>
  </si>
  <si>
    <t>ISO/IEC 42001:2023</t>
  </si>
  <si>
    <t>AI Management System alignment.</t>
  </si>
  <si>
    <t>European Commission / EU</t>
  </si>
  <si>
    <t>AI governance, risk, logging, documentation, human oversight and cybersecurity where applicable.</t>
  </si>
  <si>
    <t>European Union</t>
  </si>
  <si>
    <t>ICT risk, logging, access, change, resilience and third-party risk where applicable.</t>
  </si>
  <si>
    <t>Personal-data protection and accountability where applicable.</t>
  </si>
  <si>
    <t>U.S. Sarbanes-Oxley Act</t>
  </si>
  <si>
    <t>Financial-reporting control relevance for in-scope systems/processes.</t>
  </si>
  <si>
    <t>Product cybersecurity and lifecycle/component risk where applicable.</t>
  </si>
  <si>
    <t>Risk/control structure with framework cross-mapping. Mappings indicate alignment/relevance, not a claim of legal or certification compliance.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</si>
</sst>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404040"/>
      <name val="Calibri"/>
    </font>
    <font>
      <b/>
      <sz val="11"/>
      <color rgb="FFFFFFFF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EEF5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3" borderId="0" xfId="0" applyFont="1" applyFill="1"/>
    <xf numFmtId="0" fontId="4" fillId="0" borderId="1" xfId="0" applyFont="1" applyBorder="1"/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"/>
  <sheetViews>
    <sheetView showGridLines="0" tabSelected="1" workbookViewId="0">
      <pane ySplit="4" topLeftCell="A5" activePane="bottomLeft" state="frozen"/>
      <selection pane="bottomLeft" activeCell="A2" sqref="A2:V2"/>
    </sheetView>
  </sheetViews>
  <sheetFormatPr baseColWidth="10" defaultColWidth="8.83203125" defaultRowHeight="15" x14ac:dyDescent="0.2"/>
  <cols>
    <col min="1" max="1" width="9" customWidth="1"/>
    <col min="2" max="2" width="18" customWidth="1"/>
    <col min="3" max="3" width="34" customWidth="1"/>
    <col min="4" max="4" width="60" customWidth="1"/>
    <col min="5" max="5" width="42" customWidth="1"/>
    <col min="6" max="6" width="58" customWidth="1"/>
    <col min="7" max="7" width="42" customWidth="1"/>
    <col min="8" max="8" width="28" customWidth="1"/>
    <col min="9" max="10" width="24" customWidth="1"/>
    <col min="11" max="12" width="32" customWidth="1"/>
    <col min="13" max="13" width="34" customWidth="1"/>
    <col min="14" max="14" width="28" customWidth="1"/>
    <col min="15" max="15" width="34" customWidth="1"/>
    <col min="16" max="16" width="32" customWidth="1"/>
    <col min="17" max="17" width="34" customWidth="1"/>
  </cols>
  <sheetData>
    <row r="1" spans="1:22" ht="28" customHeight="1" x14ac:dyDescent="0.2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ht="30" customHeight="1" x14ac:dyDescent="0.2">
      <c r="A2" s="12" t="s">
        <v>368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4" spans="1:22" ht="16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</row>
    <row r="5" spans="1:22" ht="86" customHeight="1" x14ac:dyDescent="0.2">
      <c r="A5" s="3" t="s">
        <v>18</v>
      </c>
      <c r="B5" s="3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32</v>
      </c>
      <c r="P5" s="4" t="s">
        <v>33</v>
      </c>
      <c r="Q5" s="4" t="s">
        <v>34</v>
      </c>
    </row>
    <row r="6" spans="1:22" ht="86" customHeight="1" x14ac:dyDescent="0.2">
      <c r="A6" s="5" t="s">
        <v>35</v>
      </c>
      <c r="B6" s="5" t="s">
        <v>19</v>
      </c>
      <c r="C6" s="6" t="s">
        <v>36</v>
      </c>
      <c r="D6" s="6" t="s">
        <v>37</v>
      </c>
      <c r="E6" s="6" t="s">
        <v>38</v>
      </c>
      <c r="F6" s="6" t="s">
        <v>39</v>
      </c>
      <c r="G6" s="6" t="s">
        <v>40</v>
      </c>
      <c r="H6" s="6" t="s">
        <v>41</v>
      </c>
      <c r="I6" s="6" t="s">
        <v>42</v>
      </c>
      <c r="J6" s="6" t="s">
        <v>43</v>
      </c>
      <c r="K6" s="6" t="s">
        <v>44</v>
      </c>
      <c r="L6" s="6" t="s">
        <v>45</v>
      </c>
      <c r="M6" s="6" t="s">
        <v>46</v>
      </c>
      <c r="N6" s="6" t="s">
        <v>47</v>
      </c>
      <c r="O6" s="6" t="s">
        <v>48</v>
      </c>
      <c r="P6" s="6" t="s">
        <v>49</v>
      </c>
      <c r="Q6" s="6" t="s">
        <v>50</v>
      </c>
    </row>
    <row r="7" spans="1:22" ht="86" customHeight="1" x14ac:dyDescent="0.2">
      <c r="A7" s="3" t="s">
        <v>51</v>
      </c>
      <c r="B7" s="3" t="s">
        <v>19</v>
      </c>
      <c r="C7" s="4" t="s">
        <v>52</v>
      </c>
      <c r="D7" s="4" t="s">
        <v>53</v>
      </c>
      <c r="E7" s="4" t="s">
        <v>54</v>
      </c>
      <c r="F7" s="4" t="s">
        <v>55</v>
      </c>
      <c r="G7" s="4" t="s">
        <v>56</v>
      </c>
      <c r="H7" s="4" t="s">
        <v>57</v>
      </c>
      <c r="I7" s="4" t="s">
        <v>58</v>
      </c>
      <c r="J7" s="4" t="s">
        <v>59</v>
      </c>
      <c r="K7" s="4" t="s">
        <v>60</v>
      </c>
      <c r="L7" s="4" t="s">
        <v>61</v>
      </c>
      <c r="M7" s="4" t="s">
        <v>62</v>
      </c>
      <c r="N7" s="4" t="s">
        <v>63</v>
      </c>
      <c r="O7" s="4" t="s">
        <v>64</v>
      </c>
      <c r="P7" s="4" t="s">
        <v>65</v>
      </c>
      <c r="Q7" s="4" t="s">
        <v>66</v>
      </c>
    </row>
    <row r="8" spans="1:22" ht="86" customHeight="1" x14ac:dyDescent="0.2">
      <c r="A8" s="5" t="s">
        <v>67</v>
      </c>
      <c r="B8" s="5" t="s">
        <v>19</v>
      </c>
      <c r="C8" s="6" t="s">
        <v>68</v>
      </c>
      <c r="D8" s="6" t="s">
        <v>69</v>
      </c>
      <c r="E8" s="6" t="s">
        <v>70</v>
      </c>
      <c r="F8" s="6" t="s">
        <v>71</v>
      </c>
      <c r="G8" s="6" t="s">
        <v>72</v>
      </c>
      <c r="H8" s="6" t="s">
        <v>73</v>
      </c>
      <c r="I8" s="6" t="s">
        <v>74</v>
      </c>
      <c r="J8" s="6" t="s">
        <v>27</v>
      </c>
      <c r="K8" s="6" t="s">
        <v>75</v>
      </c>
      <c r="L8" s="6" t="s">
        <v>76</v>
      </c>
      <c r="M8" s="6" t="s">
        <v>77</v>
      </c>
      <c r="N8" s="6" t="s">
        <v>78</v>
      </c>
      <c r="O8" s="6" t="s">
        <v>79</v>
      </c>
      <c r="P8" s="6" t="s">
        <v>80</v>
      </c>
      <c r="Q8" s="6" t="s">
        <v>81</v>
      </c>
    </row>
    <row r="9" spans="1:22" ht="86" customHeight="1" x14ac:dyDescent="0.2">
      <c r="A9" s="3" t="s">
        <v>82</v>
      </c>
      <c r="B9" s="3" t="s">
        <v>83</v>
      </c>
      <c r="C9" s="4" t="s">
        <v>84</v>
      </c>
      <c r="D9" s="4" t="s">
        <v>85</v>
      </c>
      <c r="E9" s="4" t="s">
        <v>86</v>
      </c>
      <c r="F9" s="4" t="s">
        <v>87</v>
      </c>
      <c r="G9" s="4" t="s">
        <v>88</v>
      </c>
      <c r="H9" s="4" t="s">
        <v>73</v>
      </c>
      <c r="I9" s="4" t="s">
        <v>89</v>
      </c>
      <c r="J9" s="4" t="s">
        <v>90</v>
      </c>
      <c r="K9" s="4" t="s">
        <v>91</v>
      </c>
      <c r="L9" s="4" t="s">
        <v>92</v>
      </c>
      <c r="M9" s="4" t="s">
        <v>93</v>
      </c>
      <c r="N9" s="4" t="s">
        <v>94</v>
      </c>
      <c r="O9" s="4" t="s">
        <v>95</v>
      </c>
      <c r="P9" s="4" t="s">
        <v>96</v>
      </c>
      <c r="Q9" s="4" t="s">
        <v>97</v>
      </c>
    </row>
    <row r="10" spans="1:22" ht="86" customHeight="1" x14ac:dyDescent="0.2">
      <c r="A10" s="5" t="s">
        <v>98</v>
      </c>
      <c r="B10" s="5" t="s">
        <v>83</v>
      </c>
      <c r="C10" s="6" t="s">
        <v>99</v>
      </c>
      <c r="D10" s="6" t="s">
        <v>100</v>
      </c>
      <c r="E10" s="6" t="s">
        <v>101</v>
      </c>
      <c r="F10" s="6" t="s">
        <v>102</v>
      </c>
      <c r="G10" s="6" t="s">
        <v>103</v>
      </c>
      <c r="H10" s="6" t="s">
        <v>104</v>
      </c>
      <c r="I10" s="6" t="s">
        <v>105</v>
      </c>
      <c r="J10" s="6" t="s">
        <v>59</v>
      </c>
      <c r="K10" s="6" t="s">
        <v>106</v>
      </c>
      <c r="L10" s="6" t="s">
        <v>107</v>
      </c>
      <c r="M10" s="6" t="s">
        <v>108</v>
      </c>
      <c r="N10" s="6" t="s">
        <v>109</v>
      </c>
      <c r="O10" s="6" t="s">
        <v>110</v>
      </c>
      <c r="P10" s="6" t="s">
        <v>111</v>
      </c>
      <c r="Q10" s="6" t="s">
        <v>112</v>
      </c>
    </row>
    <row r="11" spans="1:22" ht="86" customHeight="1" x14ac:dyDescent="0.2">
      <c r="A11" s="3" t="s">
        <v>113</v>
      </c>
      <c r="B11" s="3" t="s">
        <v>83</v>
      </c>
      <c r="C11" s="4" t="s">
        <v>114</v>
      </c>
      <c r="D11" s="4" t="s">
        <v>115</v>
      </c>
      <c r="E11" s="4" t="s">
        <v>116</v>
      </c>
      <c r="F11" s="4" t="s">
        <v>117</v>
      </c>
      <c r="G11" s="4" t="s">
        <v>118</v>
      </c>
      <c r="H11" s="4" t="s">
        <v>119</v>
      </c>
      <c r="I11" s="4" t="s">
        <v>120</v>
      </c>
      <c r="J11" s="4" t="s">
        <v>27</v>
      </c>
      <c r="K11" s="4" t="s">
        <v>121</v>
      </c>
      <c r="L11" s="4" t="s">
        <v>122</v>
      </c>
      <c r="M11" s="4" t="s">
        <v>123</v>
      </c>
      <c r="N11" s="4" t="s">
        <v>124</v>
      </c>
      <c r="O11" s="4" t="s">
        <v>125</v>
      </c>
      <c r="P11" s="4" t="s">
        <v>126</v>
      </c>
      <c r="Q11" s="4" t="s">
        <v>127</v>
      </c>
    </row>
    <row r="12" spans="1:22" ht="86" customHeight="1" x14ac:dyDescent="0.2">
      <c r="A12" s="5" t="s">
        <v>128</v>
      </c>
      <c r="B12" s="5" t="s">
        <v>83</v>
      </c>
      <c r="C12" s="6" t="s">
        <v>129</v>
      </c>
      <c r="D12" s="6" t="s">
        <v>130</v>
      </c>
      <c r="E12" s="6" t="s">
        <v>131</v>
      </c>
      <c r="F12" s="6" t="s">
        <v>132</v>
      </c>
      <c r="G12" s="6" t="s">
        <v>133</v>
      </c>
      <c r="H12" s="6" t="s">
        <v>134</v>
      </c>
      <c r="I12" s="6" t="s">
        <v>135</v>
      </c>
      <c r="J12" s="6" t="s">
        <v>43</v>
      </c>
      <c r="K12" s="6" t="s">
        <v>136</v>
      </c>
      <c r="L12" s="6" t="s">
        <v>137</v>
      </c>
      <c r="M12" s="6" t="s">
        <v>138</v>
      </c>
      <c r="N12" s="6" t="s">
        <v>139</v>
      </c>
      <c r="O12" s="6" t="s">
        <v>140</v>
      </c>
      <c r="P12" s="6" t="s">
        <v>141</v>
      </c>
      <c r="Q12" s="6" t="s">
        <v>142</v>
      </c>
    </row>
    <row r="13" spans="1:22" ht="86" customHeight="1" x14ac:dyDescent="0.2">
      <c r="A13" s="3" t="s">
        <v>143</v>
      </c>
      <c r="B13" s="3" t="s">
        <v>144</v>
      </c>
      <c r="C13" s="4" t="s">
        <v>145</v>
      </c>
      <c r="D13" s="4" t="s">
        <v>146</v>
      </c>
      <c r="E13" s="4" t="s">
        <v>147</v>
      </c>
      <c r="F13" s="4" t="s">
        <v>148</v>
      </c>
      <c r="G13" s="4" t="s">
        <v>149</v>
      </c>
      <c r="H13" s="4" t="s">
        <v>150</v>
      </c>
      <c r="I13" s="4" t="s">
        <v>151</v>
      </c>
      <c r="J13" s="4" t="s">
        <v>59</v>
      </c>
      <c r="K13" s="4" t="s">
        <v>152</v>
      </c>
      <c r="L13" s="4" t="s">
        <v>153</v>
      </c>
      <c r="M13" s="4" t="s">
        <v>154</v>
      </c>
      <c r="N13" s="4" t="s">
        <v>155</v>
      </c>
      <c r="O13" s="4" t="s">
        <v>156</v>
      </c>
      <c r="P13" s="4" t="s">
        <v>157</v>
      </c>
      <c r="Q13" s="4" t="s">
        <v>158</v>
      </c>
    </row>
    <row r="14" spans="1:22" ht="86" customHeight="1" x14ac:dyDescent="0.2">
      <c r="A14" s="5" t="s">
        <v>159</v>
      </c>
      <c r="B14" s="5" t="s">
        <v>144</v>
      </c>
      <c r="C14" s="6" t="s">
        <v>160</v>
      </c>
      <c r="D14" s="6" t="s">
        <v>161</v>
      </c>
      <c r="E14" s="6" t="s">
        <v>162</v>
      </c>
      <c r="F14" s="6" t="s">
        <v>163</v>
      </c>
      <c r="G14" s="6" t="s">
        <v>164</v>
      </c>
      <c r="H14" s="6" t="s">
        <v>165</v>
      </c>
      <c r="I14" s="6" t="s">
        <v>151</v>
      </c>
      <c r="J14" s="6" t="s">
        <v>166</v>
      </c>
      <c r="K14" s="6" t="s">
        <v>167</v>
      </c>
      <c r="L14" s="6" t="s">
        <v>168</v>
      </c>
      <c r="M14" s="6" t="s">
        <v>169</v>
      </c>
      <c r="N14" s="6" t="s">
        <v>170</v>
      </c>
      <c r="O14" s="6" t="s">
        <v>171</v>
      </c>
      <c r="P14" s="6" t="s">
        <v>172</v>
      </c>
      <c r="Q14" s="6" t="s">
        <v>173</v>
      </c>
    </row>
    <row r="15" spans="1:22" ht="86" customHeight="1" x14ac:dyDescent="0.2">
      <c r="A15" s="3" t="s">
        <v>174</v>
      </c>
      <c r="B15" s="3" t="s">
        <v>144</v>
      </c>
      <c r="C15" s="4" t="s">
        <v>175</v>
      </c>
      <c r="D15" s="4" t="s">
        <v>176</v>
      </c>
      <c r="E15" s="4" t="s">
        <v>177</v>
      </c>
      <c r="F15" s="4" t="s">
        <v>178</v>
      </c>
      <c r="G15" s="4" t="s">
        <v>179</v>
      </c>
      <c r="H15" s="4" t="s">
        <v>180</v>
      </c>
      <c r="I15" s="4" t="s">
        <v>181</v>
      </c>
      <c r="J15" s="4" t="s">
        <v>182</v>
      </c>
      <c r="K15" s="4" t="s">
        <v>183</v>
      </c>
      <c r="L15" s="4" t="s">
        <v>184</v>
      </c>
      <c r="M15" s="4" t="s">
        <v>185</v>
      </c>
      <c r="N15" s="4" t="s">
        <v>186</v>
      </c>
      <c r="O15" s="4" t="s">
        <v>187</v>
      </c>
      <c r="P15" s="4" t="s">
        <v>188</v>
      </c>
      <c r="Q15" s="4" t="s">
        <v>189</v>
      </c>
    </row>
    <row r="16" spans="1:22" ht="86" customHeight="1" x14ac:dyDescent="0.2">
      <c r="A16" s="5" t="s">
        <v>190</v>
      </c>
      <c r="B16" s="5" t="s">
        <v>144</v>
      </c>
      <c r="C16" s="6" t="s">
        <v>191</v>
      </c>
      <c r="D16" s="6" t="s">
        <v>192</v>
      </c>
      <c r="E16" s="6" t="s">
        <v>193</v>
      </c>
      <c r="F16" s="6" t="s">
        <v>194</v>
      </c>
      <c r="G16" s="6" t="s">
        <v>195</v>
      </c>
      <c r="H16" s="6" t="s">
        <v>196</v>
      </c>
      <c r="I16" s="6" t="s">
        <v>197</v>
      </c>
      <c r="J16" s="6" t="s">
        <v>59</v>
      </c>
      <c r="K16" s="6" t="s">
        <v>198</v>
      </c>
      <c r="L16" s="6" t="s">
        <v>199</v>
      </c>
      <c r="M16" s="6" t="s">
        <v>108</v>
      </c>
      <c r="N16" s="6" t="s">
        <v>200</v>
      </c>
      <c r="O16" s="6" t="s">
        <v>201</v>
      </c>
      <c r="P16" s="6" t="s">
        <v>202</v>
      </c>
      <c r="Q16" s="6" t="s">
        <v>203</v>
      </c>
    </row>
    <row r="17" spans="1:17" ht="86" customHeight="1" x14ac:dyDescent="0.2">
      <c r="A17" s="3" t="s">
        <v>204</v>
      </c>
      <c r="B17" s="3" t="s">
        <v>205</v>
      </c>
      <c r="C17" s="4" t="s">
        <v>206</v>
      </c>
      <c r="D17" s="4" t="s">
        <v>207</v>
      </c>
      <c r="E17" s="4" t="s">
        <v>208</v>
      </c>
      <c r="F17" s="4" t="s">
        <v>209</v>
      </c>
      <c r="G17" s="4" t="s">
        <v>210</v>
      </c>
      <c r="H17" s="4" t="s">
        <v>211</v>
      </c>
      <c r="I17" s="4" t="s">
        <v>212</v>
      </c>
      <c r="J17" s="4" t="s">
        <v>182</v>
      </c>
      <c r="K17" s="4" t="s">
        <v>213</v>
      </c>
      <c r="L17" s="4" t="s">
        <v>214</v>
      </c>
      <c r="M17" s="4" t="s">
        <v>215</v>
      </c>
      <c r="N17" s="4" t="s">
        <v>216</v>
      </c>
      <c r="O17" s="4" t="s">
        <v>217</v>
      </c>
      <c r="P17" s="4" t="s">
        <v>218</v>
      </c>
      <c r="Q17" s="4" t="s">
        <v>219</v>
      </c>
    </row>
    <row r="18" spans="1:17" ht="86" customHeight="1" x14ac:dyDescent="0.2">
      <c r="A18" s="5" t="s">
        <v>220</v>
      </c>
      <c r="B18" s="5" t="s">
        <v>205</v>
      </c>
      <c r="C18" s="6" t="s">
        <v>221</v>
      </c>
      <c r="D18" s="6" t="s">
        <v>222</v>
      </c>
      <c r="E18" s="6" t="s">
        <v>223</v>
      </c>
      <c r="F18" s="6" t="s">
        <v>224</v>
      </c>
      <c r="G18" s="6" t="s">
        <v>225</v>
      </c>
      <c r="H18" s="6" t="s">
        <v>226</v>
      </c>
      <c r="I18" s="6" t="s">
        <v>181</v>
      </c>
      <c r="J18" s="6" t="s">
        <v>182</v>
      </c>
      <c r="K18" s="6" t="s">
        <v>227</v>
      </c>
      <c r="L18" s="6" t="s">
        <v>228</v>
      </c>
      <c r="M18" s="6" t="s">
        <v>229</v>
      </c>
      <c r="N18" s="6" t="s">
        <v>230</v>
      </c>
      <c r="O18" s="6" t="s">
        <v>187</v>
      </c>
      <c r="P18" s="6" t="s">
        <v>231</v>
      </c>
      <c r="Q18" s="6" t="s">
        <v>232</v>
      </c>
    </row>
    <row r="19" spans="1:17" ht="86" customHeight="1" x14ac:dyDescent="0.2">
      <c r="A19" s="3" t="s">
        <v>233</v>
      </c>
      <c r="B19" s="3" t="s">
        <v>205</v>
      </c>
      <c r="C19" s="4" t="s">
        <v>234</v>
      </c>
      <c r="D19" s="4" t="s">
        <v>235</v>
      </c>
      <c r="E19" s="4" t="s">
        <v>236</v>
      </c>
      <c r="F19" s="4" t="s">
        <v>237</v>
      </c>
      <c r="G19" s="4" t="s">
        <v>238</v>
      </c>
      <c r="H19" s="4" t="s">
        <v>239</v>
      </c>
      <c r="I19" s="4" t="s">
        <v>240</v>
      </c>
      <c r="J19" s="4" t="s">
        <v>182</v>
      </c>
      <c r="K19" s="4" t="s">
        <v>241</v>
      </c>
      <c r="L19" s="4" t="s">
        <v>242</v>
      </c>
      <c r="M19" s="4" t="s">
        <v>243</v>
      </c>
      <c r="N19" s="4" t="s">
        <v>244</v>
      </c>
      <c r="O19" s="4" t="s">
        <v>245</v>
      </c>
      <c r="P19" s="4" t="s">
        <v>246</v>
      </c>
      <c r="Q19" s="4" t="s">
        <v>247</v>
      </c>
    </row>
    <row r="20" spans="1:17" ht="86" customHeight="1" x14ac:dyDescent="0.2">
      <c r="A20" s="5" t="s">
        <v>248</v>
      </c>
      <c r="B20" s="5" t="s">
        <v>205</v>
      </c>
      <c r="C20" s="6" t="s">
        <v>249</v>
      </c>
      <c r="D20" s="6" t="s">
        <v>250</v>
      </c>
      <c r="E20" s="6" t="s">
        <v>251</v>
      </c>
      <c r="F20" s="6" t="s">
        <v>252</v>
      </c>
      <c r="G20" s="6" t="s">
        <v>253</v>
      </c>
      <c r="H20" s="6" t="s">
        <v>254</v>
      </c>
      <c r="I20" s="6" t="s">
        <v>255</v>
      </c>
      <c r="J20" s="6" t="s">
        <v>256</v>
      </c>
      <c r="K20" s="6" t="s">
        <v>257</v>
      </c>
      <c r="L20" s="6" t="s">
        <v>258</v>
      </c>
      <c r="M20" s="6" t="s">
        <v>62</v>
      </c>
      <c r="N20" s="6" t="s">
        <v>259</v>
      </c>
      <c r="O20" s="6" t="s">
        <v>260</v>
      </c>
      <c r="P20" s="6" t="s">
        <v>261</v>
      </c>
      <c r="Q20" s="6" t="s">
        <v>262</v>
      </c>
    </row>
  </sheetData>
  <autoFilter ref="A4:Q20" xr:uid="{00000000-0009-0000-0000-000000000000}"/>
  <mergeCells count="2">
    <mergeCell ref="A2:V2"/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34" customWidth="1"/>
    <col min="3" max="4" width="42" customWidth="1"/>
    <col min="5" max="5" width="38" customWidth="1"/>
    <col min="6" max="6" width="28" customWidth="1"/>
    <col min="7" max="7" width="46" customWidth="1"/>
    <col min="8" max="8" width="52" customWidth="1"/>
  </cols>
  <sheetData>
    <row r="1" spans="1:8" ht="28" customHeight="1" x14ac:dyDescent="0.25">
      <c r="A1" s="15" t="s">
        <v>263</v>
      </c>
      <c r="B1" s="13"/>
      <c r="C1" s="13"/>
      <c r="D1" s="13"/>
      <c r="E1" s="13"/>
      <c r="F1" s="13"/>
      <c r="G1" s="13"/>
      <c r="H1" s="13"/>
    </row>
    <row r="3" spans="1:8" ht="16" x14ac:dyDescent="0.2">
      <c r="A3" s="7" t="s">
        <v>2</v>
      </c>
      <c r="B3" s="7" t="s">
        <v>264</v>
      </c>
      <c r="C3" s="7" t="s">
        <v>265</v>
      </c>
      <c r="D3" s="7" t="s">
        <v>266</v>
      </c>
      <c r="E3" s="7" t="s">
        <v>267</v>
      </c>
      <c r="F3" s="7" t="s">
        <v>268</v>
      </c>
      <c r="G3" s="7" t="s">
        <v>269</v>
      </c>
      <c r="H3" s="7" t="s">
        <v>270</v>
      </c>
    </row>
    <row r="4" spans="1:8" ht="82" customHeight="1" x14ac:dyDescent="0.2">
      <c r="A4" s="6" t="s">
        <v>19</v>
      </c>
      <c r="B4" s="6" t="s">
        <v>271</v>
      </c>
      <c r="C4" s="6" t="s">
        <v>272</v>
      </c>
      <c r="D4" s="6" t="s">
        <v>273</v>
      </c>
      <c r="E4" s="6" t="s">
        <v>274</v>
      </c>
      <c r="F4" s="6" t="s">
        <v>275</v>
      </c>
      <c r="G4" s="6" t="s">
        <v>276</v>
      </c>
      <c r="H4" s="6" t="s">
        <v>277</v>
      </c>
    </row>
    <row r="5" spans="1:8" ht="82" customHeight="1" x14ac:dyDescent="0.2">
      <c r="A5" s="4" t="s">
        <v>83</v>
      </c>
      <c r="B5" s="4" t="s">
        <v>278</v>
      </c>
      <c r="C5" s="4" t="s">
        <v>279</v>
      </c>
      <c r="D5" s="4" t="s">
        <v>280</v>
      </c>
      <c r="E5" s="4" t="s">
        <v>281</v>
      </c>
      <c r="F5" s="4" t="s">
        <v>282</v>
      </c>
      <c r="G5" s="4" t="s">
        <v>283</v>
      </c>
      <c r="H5" s="4" t="s">
        <v>284</v>
      </c>
    </row>
    <row r="6" spans="1:8" ht="82" customHeight="1" x14ac:dyDescent="0.2">
      <c r="A6" s="6" t="s">
        <v>144</v>
      </c>
      <c r="B6" s="6" t="s">
        <v>285</v>
      </c>
      <c r="C6" s="6" t="s">
        <v>286</v>
      </c>
      <c r="D6" s="6" t="s">
        <v>287</v>
      </c>
      <c r="E6" s="6" t="s">
        <v>288</v>
      </c>
      <c r="F6" s="6" t="s">
        <v>150</v>
      </c>
      <c r="G6" s="6" t="s">
        <v>289</v>
      </c>
      <c r="H6" s="6" t="s">
        <v>290</v>
      </c>
    </row>
    <row r="7" spans="1:8" ht="82" customHeight="1" x14ac:dyDescent="0.2">
      <c r="A7" s="4" t="s">
        <v>205</v>
      </c>
      <c r="B7" s="4" t="s">
        <v>291</v>
      </c>
      <c r="C7" s="4" t="s">
        <v>292</v>
      </c>
      <c r="D7" s="4" t="s">
        <v>293</v>
      </c>
      <c r="E7" s="4" t="s">
        <v>294</v>
      </c>
      <c r="F7" s="4" t="s">
        <v>295</v>
      </c>
      <c r="G7" s="4" t="s">
        <v>296</v>
      </c>
      <c r="H7" s="4" t="s">
        <v>297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4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36" customWidth="1"/>
    <col min="4" max="4" width="28" customWidth="1"/>
    <col min="5" max="5" width="42" customWidth="1"/>
    <col min="6" max="6" width="62" customWidth="1"/>
  </cols>
  <sheetData>
    <row r="1" spans="1:6" ht="21" x14ac:dyDescent="0.25">
      <c r="A1" s="15" t="s">
        <v>298</v>
      </c>
      <c r="B1" s="13"/>
      <c r="C1" s="13"/>
      <c r="D1" s="13"/>
      <c r="E1" s="13"/>
      <c r="F1" s="13"/>
    </row>
    <row r="2" spans="1:6" x14ac:dyDescent="0.2">
      <c r="A2" s="12" t="s">
        <v>299</v>
      </c>
      <c r="B2" s="13"/>
      <c r="C2" s="13"/>
      <c r="D2" s="13"/>
      <c r="E2" s="13"/>
      <c r="F2" s="13"/>
    </row>
    <row r="4" spans="1:6" ht="16" x14ac:dyDescent="0.2">
      <c r="A4" s="8" t="s">
        <v>300</v>
      </c>
      <c r="B4" s="8" t="s">
        <v>2</v>
      </c>
      <c r="C4" s="8" t="s">
        <v>3</v>
      </c>
      <c r="D4" s="8" t="s">
        <v>301</v>
      </c>
      <c r="E4" s="8" t="s">
        <v>302</v>
      </c>
      <c r="F4" s="8" t="s">
        <v>303</v>
      </c>
    </row>
    <row r="5" spans="1:6" ht="56" customHeight="1" x14ac:dyDescent="0.2">
      <c r="A5" s="4" t="s">
        <v>18</v>
      </c>
      <c r="B5" s="4" t="s">
        <v>19</v>
      </c>
      <c r="C5" s="4" t="s">
        <v>20</v>
      </c>
      <c r="D5" s="4" t="s">
        <v>8</v>
      </c>
      <c r="E5" s="4" t="s">
        <v>25</v>
      </c>
      <c r="F5" s="4" t="s">
        <v>304</v>
      </c>
    </row>
    <row r="6" spans="1:6" ht="56" customHeight="1" x14ac:dyDescent="0.2">
      <c r="A6" s="6" t="s">
        <v>18</v>
      </c>
      <c r="B6" s="6" t="s">
        <v>19</v>
      </c>
      <c r="C6" s="6" t="s">
        <v>20</v>
      </c>
      <c r="D6" s="6" t="s">
        <v>9</v>
      </c>
      <c r="E6" s="6" t="s">
        <v>26</v>
      </c>
      <c r="F6" s="6" t="s">
        <v>305</v>
      </c>
    </row>
    <row r="7" spans="1:6" ht="56" customHeight="1" x14ac:dyDescent="0.2">
      <c r="A7" s="4" t="s">
        <v>18</v>
      </c>
      <c r="B7" s="4" t="s">
        <v>19</v>
      </c>
      <c r="C7" s="4" t="s">
        <v>20</v>
      </c>
      <c r="D7" s="4" t="s">
        <v>10</v>
      </c>
      <c r="E7" s="4" t="s">
        <v>27</v>
      </c>
      <c r="F7" s="4" t="s">
        <v>306</v>
      </c>
    </row>
    <row r="8" spans="1:6" ht="56" customHeight="1" x14ac:dyDescent="0.2">
      <c r="A8" s="6" t="s">
        <v>18</v>
      </c>
      <c r="B8" s="6" t="s">
        <v>19</v>
      </c>
      <c r="C8" s="6" t="s">
        <v>20</v>
      </c>
      <c r="D8" s="6" t="s">
        <v>11</v>
      </c>
      <c r="E8" s="6" t="s">
        <v>28</v>
      </c>
      <c r="F8" s="6" t="s">
        <v>307</v>
      </c>
    </row>
    <row r="9" spans="1:6" ht="56" customHeight="1" x14ac:dyDescent="0.2">
      <c r="A9" s="4" t="s">
        <v>18</v>
      </c>
      <c r="B9" s="4" t="s">
        <v>19</v>
      </c>
      <c r="C9" s="4" t="s">
        <v>20</v>
      </c>
      <c r="D9" s="4" t="s">
        <v>12</v>
      </c>
      <c r="E9" s="4" t="s">
        <v>29</v>
      </c>
      <c r="F9" s="4" t="s">
        <v>308</v>
      </c>
    </row>
    <row r="10" spans="1:6" ht="56" customHeight="1" x14ac:dyDescent="0.2">
      <c r="A10" s="6" t="s">
        <v>18</v>
      </c>
      <c r="B10" s="6" t="s">
        <v>19</v>
      </c>
      <c r="C10" s="6" t="s">
        <v>20</v>
      </c>
      <c r="D10" s="6" t="s">
        <v>13</v>
      </c>
      <c r="E10" s="6" t="s">
        <v>30</v>
      </c>
      <c r="F10" s="6" t="s">
        <v>309</v>
      </c>
    </row>
    <row r="11" spans="1:6" ht="56" customHeight="1" x14ac:dyDescent="0.2">
      <c r="A11" s="4" t="s">
        <v>18</v>
      </c>
      <c r="B11" s="4" t="s">
        <v>19</v>
      </c>
      <c r="C11" s="4" t="s">
        <v>20</v>
      </c>
      <c r="D11" s="4" t="s">
        <v>14</v>
      </c>
      <c r="E11" s="4" t="s">
        <v>31</v>
      </c>
      <c r="F11" s="4" t="s">
        <v>310</v>
      </c>
    </row>
    <row r="12" spans="1:6" ht="56" customHeight="1" x14ac:dyDescent="0.2">
      <c r="A12" s="6" t="s">
        <v>18</v>
      </c>
      <c r="B12" s="6" t="s">
        <v>19</v>
      </c>
      <c r="C12" s="6" t="s">
        <v>20</v>
      </c>
      <c r="D12" s="6" t="s">
        <v>15</v>
      </c>
      <c r="E12" s="6" t="s">
        <v>32</v>
      </c>
      <c r="F12" s="6" t="s">
        <v>311</v>
      </c>
    </row>
    <row r="13" spans="1:6" ht="56" customHeight="1" x14ac:dyDescent="0.2">
      <c r="A13" s="4" t="s">
        <v>18</v>
      </c>
      <c r="B13" s="4" t="s">
        <v>19</v>
      </c>
      <c r="C13" s="4" t="s">
        <v>20</v>
      </c>
      <c r="D13" s="4" t="s">
        <v>16</v>
      </c>
      <c r="E13" s="4" t="s">
        <v>33</v>
      </c>
      <c r="F13" s="4" t="s">
        <v>312</v>
      </c>
    </row>
    <row r="14" spans="1:6" ht="56" customHeight="1" x14ac:dyDescent="0.2">
      <c r="A14" s="6" t="s">
        <v>18</v>
      </c>
      <c r="B14" s="6" t="s">
        <v>19</v>
      </c>
      <c r="C14" s="6" t="s">
        <v>20</v>
      </c>
      <c r="D14" s="6" t="s">
        <v>17</v>
      </c>
      <c r="E14" s="6" t="s">
        <v>34</v>
      </c>
      <c r="F14" s="6" t="s">
        <v>313</v>
      </c>
    </row>
    <row r="15" spans="1:6" ht="56" customHeight="1" x14ac:dyDescent="0.2">
      <c r="A15" s="4" t="s">
        <v>35</v>
      </c>
      <c r="B15" s="4" t="s">
        <v>19</v>
      </c>
      <c r="C15" s="4" t="s">
        <v>36</v>
      </c>
      <c r="D15" s="4" t="s">
        <v>8</v>
      </c>
      <c r="E15" s="4" t="s">
        <v>41</v>
      </c>
      <c r="F15" s="4" t="s">
        <v>304</v>
      </c>
    </row>
    <row r="16" spans="1:6" ht="56" customHeight="1" x14ac:dyDescent="0.2">
      <c r="A16" s="6" t="s">
        <v>35</v>
      </c>
      <c r="B16" s="6" t="s">
        <v>19</v>
      </c>
      <c r="C16" s="6" t="s">
        <v>36</v>
      </c>
      <c r="D16" s="6" t="s">
        <v>9</v>
      </c>
      <c r="E16" s="6" t="s">
        <v>42</v>
      </c>
      <c r="F16" s="6" t="s">
        <v>305</v>
      </c>
    </row>
    <row r="17" spans="1:6" ht="56" customHeight="1" x14ac:dyDescent="0.2">
      <c r="A17" s="4" t="s">
        <v>35</v>
      </c>
      <c r="B17" s="4" t="s">
        <v>19</v>
      </c>
      <c r="C17" s="4" t="s">
        <v>36</v>
      </c>
      <c r="D17" s="4" t="s">
        <v>10</v>
      </c>
      <c r="E17" s="4" t="s">
        <v>43</v>
      </c>
      <c r="F17" s="4" t="s">
        <v>306</v>
      </c>
    </row>
    <row r="18" spans="1:6" ht="56" customHeight="1" x14ac:dyDescent="0.2">
      <c r="A18" s="6" t="s">
        <v>35</v>
      </c>
      <c r="B18" s="6" t="s">
        <v>19</v>
      </c>
      <c r="C18" s="6" t="s">
        <v>36</v>
      </c>
      <c r="D18" s="6" t="s">
        <v>11</v>
      </c>
      <c r="E18" s="6" t="s">
        <v>44</v>
      </c>
      <c r="F18" s="6" t="s">
        <v>307</v>
      </c>
    </row>
    <row r="19" spans="1:6" ht="56" customHeight="1" x14ac:dyDescent="0.2">
      <c r="A19" s="4" t="s">
        <v>35</v>
      </c>
      <c r="B19" s="4" t="s">
        <v>19</v>
      </c>
      <c r="C19" s="4" t="s">
        <v>36</v>
      </c>
      <c r="D19" s="4" t="s">
        <v>12</v>
      </c>
      <c r="E19" s="4" t="s">
        <v>45</v>
      </c>
      <c r="F19" s="4" t="s">
        <v>308</v>
      </c>
    </row>
    <row r="20" spans="1:6" ht="56" customHeight="1" x14ac:dyDescent="0.2">
      <c r="A20" s="6" t="s">
        <v>35</v>
      </c>
      <c r="B20" s="6" t="s">
        <v>19</v>
      </c>
      <c r="C20" s="6" t="s">
        <v>36</v>
      </c>
      <c r="D20" s="6" t="s">
        <v>13</v>
      </c>
      <c r="E20" s="6" t="s">
        <v>46</v>
      </c>
      <c r="F20" s="6" t="s">
        <v>309</v>
      </c>
    </row>
    <row r="21" spans="1:6" ht="56" customHeight="1" x14ac:dyDescent="0.2">
      <c r="A21" s="4" t="s">
        <v>35</v>
      </c>
      <c r="B21" s="4" t="s">
        <v>19</v>
      </c>
      <c r="C21" s="4" t="s">
        <v>36</v>
      </c>
      <c r="D21" s="4" t="s">
        <v>14</v>
      </c>
      <c r="E21" s="4" t="s">
        <v>47</v>
      </c>
      <c r="F21" s="4" t="s">
        <v>310</v>
      </c>
    </row>
    <row r="22" spans="1:6" ht="56" customHeight="1" x14ac:dyDescent="0.2">
      <c r="A22" s="6" t="s">
        <v>35</v>
      </c>
      <c r="B22" s="6" t="s">
        <v>19</v>
      </c>
      <c r="C22" s="6" t="s">
        <v>36</v>
      </c>
      <c r="D22" s="6" t="s">
        <v>15</v>
      </c>
      <c r="E22" s="6" t="s">
        <v>48</v>
      </c>
      <c r="F22" s="6" t="s">
        <v>311</v>
      </c>
    </row>
    <row r="23" spans="1:6" ht="56" customHeight="1" x14ac:dyDescent="0.2">
      <c r="A23" s="4" t="s">
        <v>35</v>
      </c>
      <c r="B23" s="4" t="s">
        <v>19</v>
      </c>
      <c r="C23" s="4" t="s">
        <v>36</v>
      </c>
      <c r="D23" s="4" t="s">
        <v>16</v>
      </c>
      <c r="E23" s="4" t="s">
        <v>49</v>
      </c>
      <c r="F23" s="4" t="s">
        <v>312</v>
      </c>
    </row>
    <row r="24" spans="1:6" ht="56" customHeight="1" x14ac:dyDescent="0.2">
      <c r="A24" s="6" t="s">
        <v>35</v>
      </c>
      <c r="B24" s="6" t="s">
        <v>19</v>
      </c>
      <c r="C24" s="6" t="s">
        <v>36</v>
      </c>
      <c r="D24" s="6" t="s">
        <v>17</v>
      </c>
      <c r="E24" s="6" t="s">
        <v>50</v>
      </c>
      <c r="F24" s="6" t="s">
        <v>313</v>
      </c>
    </row>
    <row r="25" spans="1:6" ht="56" customHeight="1" x14ac:dyDescent="0.2">
      <c r="A25" s="4" t="s">
        <v>51</v>
      </c>
      <c r="B25" s="4" t="s">
        <v>19</v>
      </c>
      <c r="C25" s="4" t="s">
        <v>52</v>
      </c>
      <c r="D25" s="4" t="s">
        <v>8</v>
      </c>
      <c r="E25" s="4" t="s">
        <v>57</v>
      </c>
      <c r="F25" s="4" t="s">
        <v>304</v>
      </c>
    </row>
    <row r="26" spans="1:6" ht="56" customHeight="1" x14ac:dyDescent="0.2">
      <c r="A26" s="6" t="s">
        <v>51</v>
      </c>
      <c r="B26" s="6" t="s">
        <v>19</v>
      </c>
      <c r="C26" s="6" t="s">
        <v>52</v>
      </c>
      <c r="D26" s="6" t="s">
        <v>9</v>
      </c>
      <c r="E26" s="6" t="s">
        <v>58</v>
      </c>
      <c r="F26" s="6" t="s">
        <v>305</v>
      </c>
    </row>
    <row r="27" spans="1:6" ht="56" customHeight="1" x14ac:dyDescent="0.2">
      <c r="A27" s="4" t="s">
        <v>51</v>
      </c>
      <c r="B27" s="4" t="s">
        <v>19</v>
      </c>
      <c r="C27" s="4" t="s">
        <v>52</v>
      </c>
      <c r="D27" s="4" t="s">
        <v>10</v>
      </c>
      <c r="E27" s="4" t="s">
        <v>59</v>
      </c>
      <c r="F27" s="4" t="s">
        <v>306</v>
      </c>
    </row>
    <row r="28" spans="1:6" ht="56" customHeight="1" x14ac:dyDescent="0.2">
      <c r="A28" s="6" t="s">
        <v>51</v>
      </c>
      <c r="B28" s="6" t="s">
        <v>19</v>
      </c>
      <c r="C28" s="6" t="s">
        <v>52</v>
      </c>
      <c r="D28" s="6" t="s">
        <v>11</v>
      </c>
      <c r="E28" s="6" t="s">
        <v>60</v>
      </c>
      <c r="F28" s="6" t="s">
        <v>307</v>
      </c>
    </row>
    <row r="29" spans="1:6" ht="56" customHeight="1" x14ac:dyDescent="0.2">
      <c r="A29" s="4" t="s">
        <v>51</v>
      </c>
      <c r="B29" s="4" t="s">
        <v>19</v>
      </c>
      <c r="C29" s="4" t="s">
        <v>52</v>
      </c>
      <c r="D29" s="4" t="s">
        <v>12</v>
      </c>
      <c r="E29" s="4" t="s">
        <v>61</v>
      </c>
      <c r="F29" s="4" t="s">
        <v>308</v>
      </c>
    </row>
    <row r="30" spans="1:6" ht="56" customHeight="1" x14ac:dyDescent="0.2">
      <c r="A30" s="6" t="s">
        <v>51</v>
      </c>
      <c r="B30" s="6" t="s">
        <v>19</v>
      </c>
      <c r="C30" s="6" t="s">
        <v>52</v>
      </c>
      <c r="D30" s="6" t="s">
        <v>13</v>
      </c>
      <c r="E30" s="6" t="s">
        <v>62</v>
      </c>
      <c r="F30" s="6" t="s">
        <v>309</v>
      </c>
    </row>
    <row r="31" spans="1:6" ht="56" customHeight="1" x14ac:dyDescent="0.2">
      <c r="A31" s="4" t="s">
        <v>51</v>
      </c>
      <c r="B31" s="4" t="s">
        <v>19</v>
      </c>
      <c r="C31" s="4" t="s">
        <v>52</v>
      </c>
      <c r="D31" s="4" t="s">
        <v>14</v>
      </c>
      <c r="E31" s="4" t="s">
        <v>63</v>
      </c>
      <c r="F31" s="4" t="s">
        <v>310</v>
      </c>
    </row>
    <row r="32" spans="1:6" ht="56" customHeight="1" x14ac:dyDescent="0.2">
      <c r="A32" s="6" t="s">
        <v>51</v>
      </c>
      <c r="B32" s="6" t="s">
        <v>19</v>
      </c>
      <c r="C32" s="6" t="s">
        <v>52</v>
      </c>
      <c r="D32" s="6" t="s">
        <v>15</v>
      </c>
      <c r="E32" s="6" t="s">
        <v>64</v>
      </c>
      <c r="F32" s="6" t="s">
        <v>311</v>
      </c>
    </row>
    <row r="33" spans="1:6" ht="56" customHeight="1" x14ac:dyDescent="0.2">
      <c r="A33" s="4" t="s">
        <v>51</v>
      </c>
      <c r="B33" s="4" t="s">
        <v>19</v>
      </c>
      <c r="C33" s="4" t="s">
        <v>52</v>
      </c>
      <c r="D33" s="4" t="s">
        <v>16</v>
      </c>
      <c r="E33" s="4" t="s">
        <v>65</v>
      </c>
      <c r="F33" s="4" t="s">
        <v>312</v>
      </c>
    </row>
    <row r="34" spans="1:6" ht="56" customHeight="1" x14ac:dyDescent="0.2">
      <c r="A34" s="6" t="s">
        <v>51</v>
      </c>
      <c r="B34" s="6" t="s">
        <v>19</v>
      </c>
      <c r="C34" s="6" t="s">
        <v>52</v>
      </c>
      <c r="D34" s="6" t="s">
        <v>17</v>
      </c>
      <c r="E34" s="6" t="s">
        <v>66</v>
      </c>
      <c r="F34" s="6" t="s">
        <v>313</v>
      </c>
    </row>
    <row r="35" spans="1:6" ht="56" customHeight="1" x14ac:dyDescent="0.2">
      <c r="A35" s="4" t="s">
        <v>67</v>
      </c>
      <c r="B35" s="4" t="s">
        <v>19</v>
      </c>
      <c r="C35" s="4" t="s">
        <v>68</v>
      </c>
      <c r="D35" s="4" t="s">
        <v>8</v>
      </c>
      <c r="E35" s="4" t="s">
        <v>73</v>
      </c>
      <c r="F35" s="4" t="s">
        <v>304</v>
      </c>
    </row>
    <row r="36" spans="1:6" ht="56" customHeight="1" x14ac:dyDescent="0.2">
      <c r="A36" s="6" t="s">
        <v>67</v>
      </c>
      <c r="B36" s="6" t="s">
        <v>19</v>
      </c>
      <c r="C36" s="6" t="s">
        <v>68</v>
      </c>
      <c r="D36" s="6" t="s">
        <v>9</v>
      </c>
      <c r="E36" s="6" t="s">
        <v>74</v>
      </c>
      <c r="F36" s="6" t="s">
        <v>305</v>
      </c>
    </row>
    <row r="37" spans="1:6" ht="56" customHeight="1" x14ac:dyDescent="0.2">
      <c r="A37" s="4" t="s">
        <v>67</v>
      </c>
      <c r="B37" s="4" t="s">
        <v>19</v>
      </c>
      <c r="C37" s="4" t="s">
        <v>68</v>
      </c>
      <c r="D37" s="4" t="s">
        <v>10</v>
      </c>
      <c r="E37" s="4" t="s">
        <v>27</v>
      </c>
      <c r="F37" s="4" t="s">
        <v>306</v>
      </c>
    </row>
    <row r="38" spans="1:6" ht="56" customHeight="1" x14ac:dyDescent="0.2">
      <c r="A38" s="6" t="s">
        <v>67</v>
      </c>
      <c r="B38" s="6" t="s">
        <v>19</v>
      </c>
      <c r="C38" s="6" t="s">
        <v>68</v>
      </c>
      <c r="D38" s="6" t="s">
        <v>11</v>
      </c>
      <c r="E38" s="6" t="s">
        <v>75</v>
      </c>
      <c r="F38" s="6" t="s">
        <v>307</v>
      </c>
    </row>
    <row r="39" spans="1:6" ht="56" customHeight="1" x14ac:dyDescent="0.2">
      <c r="A39" s="4" t="s">
        <v>67</v>
      </c>
      <c r="B39" s="4" t="s">
        <v>19</v>
      </c>
      <c r="C39" s="4" t="s">
        <v>68</v>
      </c>
      <c r="D39" s="4" t="s">
        <v>12</v>
      </c>
      <c r="E39" s="4" t="s">
        <v>76</v>
      </c>
      <c r="F39" s="4" t="s">
        <v>308</v>
      </c>
    </row>
    <row r="40" spans="1:6" ht="56" customHeight="1" x14ac:dyDescent="0.2">
      <c r="A40" s="6" t="s">
        <v>67</v>
      </c>
      <c r="B40" s="6" t="s">
        <v>19</v>
      </c>
      <c r="C40" s="6" t="s">
        <v>68</v>
      </c>
      <c r="D40" s="6" t="s">
        <v>13</v>
      </c>
      <c r="E40" s="6" t="s">
        <v>77</v>
      </c>
      <c r="F40" s="6" t="s">
        <v>309</v>
      </c>
    </row>
    <row r="41" spans="1:6" ht="56" customHeight="1" x14ac:dyDescent="0.2">
      <c r="A41" s="4" t="s">
        <v>67</v>
      </c>
      <c r="B41" s="4" t="s">
        <v>19</v>
      </c>
      <c r="C41" s="4" t="s">
        <v>68</v>
      </c>
      <c r="D41" s="4" t="s">
        <v>14</v>
      </c>
      <c r="E41" s="4" t="s">
        <v>78</v>
      </c>
      <c r="F41" s="4" t="s">
        <v>310</v>
      </c>
    </row>
    <row r="42" spans="1:6" ht="56" customHeight="1" x14ac:dyDescent="0.2">
      <c r="A42" s="6" t="s">
        <v>67</v>
      </c>
      <c r="B42" s="6" t="s">
        <v>19</v>
      </c>
      <c r="C42" s="6" t="s">
        <v>68</v>
      </c>
      <c r="D42" s="6" t="s">
        <v>15</v>
      </c>
      <c r="E42" s="6" t="s">
        <v>79</v>
      </c>
      <c r="F42" s="6" t="s">
        <v>311</v>
      </c>
    </row>
    <row r="43" spans="1:6" ht="56" customHeight="1" x14ac:dyDescent="0.2">
      <c r="A43" s="4" t="s">
        <v>67</v>
      </c>
      <c r="B43" s="4" t="s">
        <v>19</v>
      </c>
      <c r="C43" s="4" t="s">
        <v>68</v>
      </c>
      <c r="D43" s="4" t="s">
        <v>16</v>
      </c>
      <c r="E43" s="4" t="s">
        <v>80</v>
      </c>
      <c r="F43" s="4" t="s">
        <v>312</v>
      </c>
    </row>
    <row r="44" spans="1:6" ht="56" customHeight="1" x14ac:dyDescent="0.2">
      <c r="A44" s="6" t="s">
        <v>67</v>
      </c>
      <c r="B44" s="6" t="s">
        <v>19</v>
      </c>
      <c r="C44" s="6" t="s">
        <v>68</v>
      </c>
      <c r="D44" s="6" t="s">
        <v>17</v>
      </c>
      <c r="E44" s="6" t="s">
        <v>81</v>
      </c>
      <c r="F44" s="6" t="s">
        <v>313</v>
      </c>
    </row>
    <row r="45" spans="1:6" ht="56" customHeight="1" x14ac:dyDescent="0.2">
      <c r="A45" s="4" t="s">
        <v>82</v>
      </c>
      <c r="B45" s="4" t="s">
        <v>83</v>
      </c>
      <c r="C45" s="4" t="s">
        <v>84</v>
      </c>
      <c r="D45" s="4" t="s">
        <v>8</v>
      </c>
      <c r="E45" s="4" t="s">
        <v>73</v>
      </c>
      <c r="F45" s="4" t="s">
        <v>304</v>
      </c>
    </row>
    <row r="46" spans="1:6" ht="56" customHeight="1" x14ac:dyDescent="0.2">
      <c r="A46" s="6" t="s">
        <v>82</v>
      </c>
      <c r="B46" s="6" t="s">
        <v>83</v>
      </c>
      <c r="C46" s="6" t="s">
        <v>84</v>
      </c>
      <c r="D46" s="6" t="s">
        <v>9</v>
      </c>
      <c r="E46" s="6" t="s">
        <v>89</v>
      </c>
      <c r="F46" s="6" t="s">
        <v>305</v>
      </c>
    </row>
    <row r="47" spans="1:6" ht="56" customHeight="1" x14ac:dyDescent="0.2">
      <c r="A47" s="4" t="s">
        <v>82</v>
      </c>
      <c r="B47" s="4" t="s">
        <v>83</v>
      </c>
      <c r="C47" s="4" t="s">
        <v>84</v>
      </c>
      <c r="D47" s="4" t="s">
        <v>10</v>
      </c>
      <c r="E47" s="4" t="s">
        <v>90</v>
      </c>
      <c r="F47" s="4" t="s">
        <v>306</v>
      </c>
    </row>
    <row r="48" spans="1:6" ht="56" customHeight="1" x14ac:dyDescent="0.2">
      <c r="A48" s="6" t="s">
        <v>82</v>
      </c>
      <c r="B48" s="6" t="s">
        <v>83</v>
      </c>
      <c r="C48" s="6" t="s">
        <v>84</v>
      </c>
      <c r="D48" s="6" t="s">
        <v>11</v>
      </c>
      <c r="E48" s="6" t="s">
        <v>91</v>
      </c>
      <c r="F48" s="6" t="s">
        <v>307</v>
      </c>
    </row>
    <row r="49" spans="1:6" ht="56" customHeight="1" x14ac:dyDescent="0.2">
      <c r="A49" s="4" t="s">
        <v>82</v>
      </c>
      <c r="B49" s="4" t="s">
        <v>83</v>
      </c>
      <c r="C49" s="4" t="s">
        <v>84</v>
      </c>
      <c r="D49" s="4" t="s">
        <v>12</v>
      </c>
      <c r="E49" s="4" t="s">
        <v>92</v>
      </c>
      <c r="F49" s="4" t="s">
        <v>308</v>
      </c>
    </row>
    <row r="50" spans="1:6" ht="56" customHeight="1" x14ac:dyDescent="0.2">
      <c r="A50" s="6" t="s">
        <v>82</v>
      </c>
      <c r="B50" s="6" t="s">
        <v>83</v>
      </c>
      <c r="C50" s="6" t="s">
        <v>84</v>
      </c>
      <c r="D50" s="6" t="s">
        <v>13</v>
      </c>
      <c r="E50" s="6" t="s">
        <v>93</v>
      </c>
      <c r="F50" s="6" t="s">
        <v>309</v>
      </c>
    </row>
    <row r="51" spans="1:6" ht="56" customHeight="1" x14ac:dyDescent="0.2">
      <c r="A51" s="4" t="s">
        <v>82</v>
      </c>
      <c r="B51" s="4" t="s">
        <v>83</v>
      </c>
      <c r="C51" s="4" t="s">
        <v>84</v>
      </c>
      <c r="D51" s="4" t="s">
        <v>14</v>
      </c>
      <c r="E51" s="4" t="s">
        <v>94</v>
      </c>
      <c r="F51" s="4" t="s">
        <v>310</v>
      </c>
    </row>
    <row r="52" spans="1:6" ht="56" customHeight="1" x14ac:dyDescent="0.2">
      <c r="A52" s="6" t="s">
        <v>82</v>
      </c>
      <c r="B52" s="6" t="s">
        <v>83</v>
      </c>
      <c r="C52" s="6" t="s">
        <v>84</v>
      </c>
      <c r="D52" s="6" t="s">
        <v>15</v>
      </c>
      <c r="E52" s="6" t="s">
        <v>95</v>
      </c>
      <c r="F52" s="6" t="s">
        <v>311</v>
      </c>
    </row>
    <row r="53" spans="1:6" ht="56" customHeight="1" x14ac:dyDescent="0.2">
      <c r="A53" s="4" t="s">
        <v>82</v>
      </c>
      <c r="B53" s="4" t="s">
        <v>83</v>
      </c>
      <c r="C53" s="4" t="s">
        <v>84</v>
      </c>
      <c r="D53" s="4" t="s">
        <v>16</v>
      </c>
      <c r="E53" s="4" t="s">
        <v>96</v>
      </c>
      <c r="F53" s="4" t="s">
        <v>312</v>
      </c>
    </row>
    <row r="54" spans="1:6" ht="56" customHeight="1" x14ac:dyDescent="0.2">
      <c r="A54" s="6" t="s">
        <v>82</v>
      </c>
      <c r="B54" s="6" t="s">
        <v>83</v>
      </c>
      <c r="C54" s="6" t="s">
        <v>84</v>
      </c>
      <c r="D54" s="6" t="s">
        <v>17</v>
      </c>
      <c r="E54" s="6" t="s">
        <v>97</v>
      </c>
      <c r="F54" s="6" t="s">
        <v>313</v>
      </c>
    </row>
    <row r="55" spans="1:6" ht="56" customHeight="1" x14ac:dyDescent="0.2">
      <c r="A55" s="4" t="s">
        <v>98</v>
      </c>
      <c r="B55" s="4" t="s">
        <v>83</v>
      </c>
      <c r="C55" s="4" t="s">
        <v>99</v>
      </c>
      <c r="D55" s="4" t="s">
        <v>8</v>
      </c>
      <c r="E55" s="4" t="s">
        <v>104</v>
      </c>
      <c r="F55" s="4" t="s">
        <v>304</v>
      </c>
    </row>
    <row r="56" spans="1:6" ht="56" customHeight="1" x14ac:dyDescent="0.2">
      <c r="A56" s="6" t="s">
        <v>98</v>
      </c>
      <c r="B56" s="6" t="s">
        <v>83</v>
      </c>
      <c r="C56" s="6" t="s">
        <v>99</v>
      </c>
      <c r="D56" s="6" t="s">
        <v>9</v>
      </c>
      <c r="E56" s="6" t="s">
        <v>105</v>
      </c>
      <c r="F56" s="6" t="s">
        <v>305</v>
      </c>
    </row>
    <row r="57" spans="1:6" ht="56" customHeight="1" x14ac:dyDescent="0.2">
      <c r="A57" s="4" t="s">
        <v>98</v>
      </c>
      <c r="B57" s="4" t="s">
        <v>83</v>
      </c>
      <c r="C57" s="4" t="s">
        <v>99</v>
      </c>
      <c r="D57" s="4" t="s">
        <v>10</v>
      </c>
      <c r="E57" s="4" t="s">
        <v>59</v>
      </c>
      <c r="F57" s="4" t="s">
        <v>306</v>
      </c>
    </row>
    <row r="58" spans="1:6" ht="56" customHeight="1" x14ac:dyDescent="0.2">
      <c r="A58" s="6" t="s">
        <v>98</v>
      </c>
      <c r="B58" s="6" t="s">
        <v>83</v>
      </c>
      <c r="C58" s="6" t="s">
        <v>99</v>
      </c>
      <c r="D58" s="6" t="s">
        <v>11</v>
      </c>
      <c r="E58" s="6" t="s">
        <v>106</v>
      </c>
      <c r="F58" s="6" t="s">
        <v>307</v>
      </c>
    </row>
    <row r="59" spans="1:6" ht="56" customHeight="1" x14ac:dyDescent="0.2">
      <c r="A59" s="4" t="s">
        <v>98</v>
      </c>
      <c r="B59" s="4" t="s">
        <v>83</v>
      </c>
      <c r="C59" s="4" t="s">
        <v>99</v>
      </c>
      <c r="D59" s="4" t="s">
        <v>12</v>
      </c>
      <c r="E59" s="4" t="s">
        <v>107</v>
      </c>
      <c r="F59" s="4" t="s">
        <v>308</v>
      </c>
    </row>
    <row r="60" spans="1:6" ht="56" customHeight="1" x14ac:dyDescent="0.2">
      <c r="A60" s="6" t="s">
        <v>98</v>
      </c>
      <c r="B60" s="6" t="s">
        <v>83</v>
      </c>
      <c r="C60" s="6" t="s">
        <v>99</v>
      </c>
      <c r="D60" s="6" t="s">
        <v>13</v>
      </c>
      <c r="E60" s="6" t="s">
        <v>108</v>
      </c>
      <c r="F60" s="6" t="s">
        <v>309</v>
      </c>
    </row>
    <row r="61" spans="1:6" ht="56" customHeight="1" x14ac:dyDescent="0.2">
      <c r="A61" s="4" t="s">
        <v>98</v>
      </c>
      <c r="B61" s="4" t="s">
        <v>83</v>
      </c>
      <c r="C61" s="4" t="s">
        <v>99</v>
      </c>
      <c r="D61" s="4" t="s">
        <v>14</v>
      </c>
      <c r="E61" s="4" t="s">
        <v>109</v>
      </c>
      <c r="F61" s="4" t="s">
        <v>310</v>
      </c>
    </row>
    <row r="62" spans="1:6" ht="56" customHeight="1" x14ac:dyDescent="0.2">
      <c r="A62" s="6" t="s">
        <v>98</v>
      </c>
      <c r="B62" s="6" t="s">
        <v>83</v>
      </c>
      <c r="C62" s="6" t="s">
        <v>99</v>
      </c>
      <c r="D62" s="6" t="s">
        <v>15</v>
      </c>
      <c r="E62" s="6" t="s">
        <v>110</v>
      </c>
      <c r="F62" s="6" t="s">
        <v>311</v>
      </c>
    </row>
    <row r="63" spans="1:6" ht="56" customHeight="1" x14ac:dyDescent="0.2">
      <c r="A63" s="4" t="s">
        <v>98</v>
      </c>
      <c r="B63" s="4" t="s">
        <v>83</v>
      </c>
      <c r="C63" s="4" t="s">
        <v>99</v>
      </c>
      <c r="D63" s="4" t="s">
        <v>16</v>
      </c>
      <c r="E63" s="4" t="s">
        <v>111</v>
      </c>
      <c r="F63" s="4" t="s">
        <v>312</v>
      </c>
    </row>
    <row r="64" spans="1:6" ht="56" customHeight="1" x14ac:dyDescent="0.2">
      <c r="A64" s="6" t="s">
        <v>98</v>
      </c>
      <c r="B64" s="6" t="s">
        <v>83</v>
      </c>
      <c r="C64" s="6" t="s">
        <v>99</v>
      </c>
      <c r="D64" s="6" t="s">
        <v>17</v>
      </c>
      <c r="E64" s="6" t="s">
        <v>112</v>
      </c>
      <c r="F64" s="6" t="s">
        <v>313</v>
      </c>
    </row>
    <row r="65" spans="1:6" ht="56" customHeight="1" x14ac:dyDescent="0.2">
      <c r="A65" s="4" t="s">
        <v>113</v>
      </c>
      <c r="B65" s="4" t="s">
        <v>83</v>
      </c>
      <c r="C65" s="4" t="s">
        <v>114</v>
      </c>
      <c r="D65" s="4" t="s">
        <v>8</v>
      </c>
      <c r="E65" s="4" t="s">
        <v>119</v>
      </c>
      <c r="F65" s="4" t="s">
        <v>304</v>
      </c>
    </row>
    <row r="66" spans="1:6" ht="56" customHeight="1" x14ac:dyDescent="0.2">
      <c r="A66" s="6" t="s">
        <v>113</v>
      </c>
      <c r="B66" s="6" t="s">
        <v>83</v>
      </c>
      <c r="C66" s="6" t="s">
        <v>114</v>
      </c>
      <c r="D66" s="6" t="s">
        <v>9</v>
      </c>
      <c r="E66" s="6" t="s">
        <v>120</v>
      </c>
      <c r="F66" s="6" t="s">
        <v>305</v>
      </c>
    </row>
    <row r="67" spans="1:6" ht="56" customHeight="1" x14ac:dyDescent="0.2">
      <c r="A67" s="4" t="s">
        <v>113</v>
      </c>
      <c r="B67" s="4" t="s">
        <v>83</v>
      </c>
      <c r="C67" s="4" t="s">
        <v>114</v>
      </c>
      <c r="D67" s="4" t="s">
        <v>10</v>
      </c>
      <c r="E67" s="4" t="s">
        <v>27</v>
      </c>
      <c r="F67" s="4" t="s">
        <v>306</v>
      </c>
    </row>
    <row r="68" spans="1:6" ht="56" customHeight="1" x14ac:dyDescent="0.2">
      <c r="A68" s="6" t="s">
        <v>113</v>
      </c>
      <c r="B68" s="6" t="s">
        <v>83</v>
      </c>
      <c r="C68" s="6" t="s">
        <v>114</v>
      </c>
      <c r="D68" s="6" t="s">
        <v>11</v>
      </c>
      <c r="E68" s="6" t="s">
        <v>121</v>
      </c>
      <c r="F68" s="6" t="s">
        <v>307</v>
      </c>
    </row>
    <row r="69" spans="1:6" ht="56" customHeight="1" x14ac:dyDescent="0.2">
      <c r="A69" s="4" t="s">
        <v>113</v>
      </c>
      <c r="B69" s="4" t="s">
        <v>83</v>
      </c>
      <c r="C69" s="4" t="s">
        <v>114</v>
      </c>
      <c r="D69" s="4" t="s">
        <v>12</v>
      </c>
      <c r="E69" s="4" t="s">
        <v>122</v>
      </c>
      <c r="F69" s="4" t="s">
        <v>308</v>
      </c>
    </row>
    <row r="70" spans="1:6" ht="56" customHeight="1" x14ac:dyDescent="0.2">
      <c r="A70" s="6" t="s">
        <v>113</v>
      </c>
      <c r="B70" s="6" t="s">
        <v>83</v>
      </c>
      <c r="C70" s="6" t="s">
        <v>114</v>
      </c>
      <c r="D70" s="6" t="s">
        <v>13</v>
      </c>
      <c r="E70" s="6" t="s">
        <v>123</v>
      </c>
      <c r="F70" s="6" t="s">
        <v>309</v>
      </c>
    </row>
    <row r="71" spans="1:6" ht="56" customHeight="1" x14ac:dyDescent="0.2">
      <c r="A71" s="4" t="s">
        <v>113</v>
      </c>
      <c r="B71" s="4" t="s">
        <v>83</v>
      </c>
      <c r="C71" s="4" t="s">
        <v>114</v>
      </c>
      <c r="D71" s="4" t="s">
        <v>14</v>
      </c>
      <c r="E71" s="4" t="s">
        <v>124</v>
      </c>
      <c r="F71" s="4" t="s">
        <v>310</v>
      </c>
    </row>
    <row r="72" spans="1:6" ht="56" customHeight="1" x14ac:dyDescent="0.2">
      <c r="A72" s="6" t="s">
        <v>113</v>
      </c>
      <c r="B72" s="6" t="s">
        <v>83</v>
      </c>
      <c r="C72" s="6" t="s">
        <v>114</v>
      </c>
      <c r="D72" s="6" t="s">
        <v>15</v>
      </c>
      <c r="E72" s="6" t="s">
        <v>125</v>
      </c>
      <c r="F72" s="6" t="s">
        <v>311</v>
      </c>
    </row>
    <row r="73" spans="1:6" ht="56" customHeight="1" x14ac:dyDescent="0.2">
      <c r="A73" s="4" t="s">
        <v>113</v>
      </c>
      <c r="B73" s="4" t="s">
        <v>83</v>
      </c>
      <c r="C73" s="4" t="s">
        <v>114</v>
      </c>
      <c r="D73" s="4" t="s">
        <v>16</v>
      </c>
      <c r="E73" s="4" t="s">
        <v>126</v>
      </c>
      <c r="F73" s="4" t="s">
        <v>312</v>
      </c>
    </row>
    <row r="74" spans="1:6" ht="56" customHeight="1" x14ac:dyDescent="0.2">
      <c r="A74" s="6" t="s">
        <v>113</v>
      </c>
      <c r="B74" s="6" t="s">
        <v>83</v>
      </c>
      <c r="C74" s="6" t="s">
        <v>114</v>
      </c>
      <c r="D74" s="6" t="s">
        <v>17</v>
      </c>
      <c r="E74" s="6" t="s">
        <v>127</v>
      </c>
      <c r="F74" s="6" t="s">
        <v>313</v>
      </c>
    </row>
    <row r="75" spans="1:6" ht="56" customHeight="1" x14ac:dyDescent="0.2">
      <c r="A75" s="4" t="s">
        <v>128</v>
      </c>
      <c r="B75" s="4" t="s">
        <v>83</v>
      </c>
      <c r="C75" s="4" t="s">
        <v>129</v>
      </c>
      <c r="D75" s="4" t="s">
        <v>8</v>
      </c>
      <c r="E75" s="4" t="s">
        <v>134</v>
      </c>
      <c r="F75" s="4" t="s">
        <v>304</v>
      </c>
    </row>
    <row r="76" spans="1:6" ht="56" customHeight="1" x14ac:dyDescent="0.2">
      <c r="A76" s="6" t="s">
        <v>128</v>
      </c>
      <c r="B76" s="6" t="s">
        <v>83</v>
      </c>
      <c r="C76" s="6" t="s">
        <v>129</v>
      </c>
      <c r="D76" s="6" t="s">
        <v>9</v>
      </c>
      <c r="E76" s="6" t="s">
        <v>135</v>
      </c>
      <c r="F76" s="6" t="s">
        <v>305</v>
      </c>
    </row>
    <row r="77" spans="1:6" ht="56" customHeight="1" x14ac:dyDescent="0.2">
      <c r="A77" s="4" t="s">
        <v>128</v>
      </c>
      <c r="B77" s="4" t="s">
        <v>83</v>
      </c>
      <c r="C77" s="4" t="s">
        <v>129</v>
      </c>
      <c r="D77" s="4" t="s">
        <v>10</v>
      </c>
      <c r="E77" s="4" t="s">
        <v>43</v>
      </c>
      <c r="F77" s="4" t="s">
        <v>306</v>
      </c>
    </row>
    <row r="78" spans="1:6" ht="56" customHeight="1" x14ac:dyDescent="0.2">
      <c r="A78" s="6" t="s">
        <v>128</v>
      </c>
      <c r="B78" s="6" t="s">
        <v>83</v>
      </c>
      <c r="C78" s="6" t="s">
        <v>129</v>
      </c>
      <c r="D78" s="6" t="s">
        <v>11</v>
      </c>
      <c r="E78" s="6" t="s">
        <v>136</v>
      </c>
      <c r="F78" s="6" t="s">
        <v>307</v>
      </c>
    </row>
    <row r="79" spans="1:6" ht="56" customHeight="1" x14ac:dyDescent="0.2">
      <c r="A79" s="4" t="s">
        <v>128</v>
      </c>
      <c r="B79" s="4" t="s">
        <v>83</v>
      </c>
      <c r="C79" s="4" t="s">
        <v>129</v>
      </c>
      <c r="D79" s="4" t="s">
        <v>12</v>
      </c>
      <c r="E79" s="4" t="s">
        <v>137</v>
      </c>
      <c r="F79" s="4" t="s">
        <v>308</v>
      </c>
    </row>
    <row r="80" spans="1:6" ht="56" customHeight="1" x14ac:dyDescent="0.2">
      <c r="A80" s="6" t="s">
        <v>128</v>
      </c>
      <c r="B80" s="6" t="s">
        <v>83</v>
      </c>
      <c r="C80" s="6" t="s">
        <v>129</v>
      </c>
      <c r="D80" s="6" t="s">
        <v>13</v>
      </c>
      <c r="E80" s="6" t="s">
        <v>138</v>
      </c>
      <c r="F80" s="6" t="s">
        <v>309</v>
      </c>
    </row>
    <row r="81" spans="1:6" ht="56" customHeight="1" x14ac:dyDescent="0.2">
      <c r="A81" s="4" t="s">
        <v>128</v>
      </c>
      <c r="B81" s="4" t="s">
        <v>83</v>
      </c>
      <c r="C81" s="4" t="s">
        <v>129</v>
      </c>
      <c r="D81" s="4" t="s">
        <v>14</v>
      </c>
      <c r="E81" s="4" t="s">
        <v>139</v>
      </c>
      <c r="F81" s="4" t="s">
        <v>310</v>
      </c>
    </row>
    <row r="82" spans="1:6" ht="56" customHeight="1" x14ac:dyDescent="0.2">
      <c r="A82" s="6" t="s">
        <v>128</v>
      </c>
      <c r="B82" s="6" t="s">
        <v>83</v>
      </c>
      <c r="C82" s="6" t="s">
        <v>129</v>
      </c>
      <c r="D82" s="6" t="s">
        <v>15</v>
      </c>
      <c r="E82" s="6" t="s">
        <v>140</v>
      </c>
      <c r="F82" s="6" t="s">
        <v>311</v>
      </c>
    </row>
    <row r="83" spans="1:6" ht="56" customHeight="1" x14ac:dyDescent="0.2">
      <c r="A83" s="4" t="s">
        <v>128</v>
      </c>
      <c r="B83" s="4" t="s">
        <v>83</v>
      </c>
      <c r="C83" s="4" t="s">
        <v>129</v>
      </c>
      <c r="D83" s="4" t="s">
        <v>16</v>
      </c>
      <c r="E83" s="4" t="s">
        <v>141</v>
      </c>
      <c r="F83" s="4" t="s">
        <v>312</v>
      </c>
    </row>
    <row r="84" spans="1:6" ht="56" customHeight="1" x14ac:dyDescent="0.2">
      <c r="A84" s="6" t="s">
        <v>128</v>
      </c>
      <c r="B84" s="6" t="s">
        <v>83</v>
      </c>
      <c r="C84" s="6" t="s">
        <v>129</v>
      </c>
      <c r="D84" s="6" t="s">
        <v>17</v>
      </c>
      <c r="E84" s="6" t="s">
        <v>142</v>
      </c>
      <c r="F84" s="6" t="s">
        <v>313</v>
      </c>
    </row>
    <row r="85" spans="1:6" ht="56" customHeight="1" x14ac:dyDescent="0.2">
      <c r="A85" s="4" t="s">
        <v>143</v>
      </c>
      <c r="B85" s="4" t="s">
        <v>144</v>
      </c>
      <c r="C85" s="4" t="s">
        <v>145</v>
      </c>
      <c r="D85" s="4" t="s">
        <v>8</v>
      </c>
      <c r="E85" s="4" t="s">
        <v>150</v>
      </c>
      <c r="F85" s="4" t="s">
        <v>304</v>
      </c>
    </row>
    <row r="86" spans="1:6" ht="56" customHeight="1" x14ac:dyDescent="0.2">
      <c r="A86" s="6" t="s">
        <v>143</v>
      </c>
      <c r="B86" s="6" t="s">
        <v>144</v>
      </c>
      <c r="C86" s="6" t="s">
        <v>145</v>
      </c>
      <c r="D86" s="6" t="s">
        <v>9</v>
      </c>
      <c r="E86" s="6" t="s">
        <v>151</v>
      </c>
      <c r="F86" s="6" t="s">
        <v>305</v>
      </c>
    </row>
    <row r="87" spans="1:6" ht="56" customHeight="1" x14ac:dyDescent="0.2">
      <c r="A87" s="4" t="s">
        <v>143</v>
      </c>
      <c r="B87" s="4" t="s">
        <v>144</v>
      </c>
      <c r="C87" s="4" t="s">
        <v>145</v>
      </c>
      <c r="D87" s="4" t="s">
        <v>10</v>
      </c>
      <c r="E87" s="4" t="s">
        <v>59</v>
      </c>
      <c r="F87" s="4" t="s">
        <v>306</v>
      </c>
    </row>
    <row r="88" spans="1:6" ht="56" customHeight="1" x14ac:dyDescent="0.2">
      <c r="A88" s="6" t="s">
        <v>143</v>
      </c>
      <c r="B88" s="6" t="s">
        <v>144</v>
      </c>
      <c r="C88" s="6" t="s">
        <v>145</v>
      </c>
      <c r="D88" s="6" t="s">
        <v>11</v>
      </c>
      <c r="E88" s="6" t="s">
        <v>152</v>
      </c>
      <c r="F88" s="6" t="s">
        <v>307</v>
      </c>
    </row>
    <row r="89" spans="1:6" ht="56" customHeight="1" x14ac:dyDescent="0.2">
      <c r="A89" s="4" t="s">
        <v>143</v>
      </c>
      <c r="B89" s="4" t="s">
        <v>144</v>
      </c>
      <c r="C89" s="4" t="s">
        <v>145</v>
      </c>
      <c r="D89" s="4" t="s">
        <v>12</v>
      </c>
      <c r="E89" s="4" t="s">
        <v>153</v>
      </c>
      <c r="F89" s="4" t="s">
        <v>308</v>
      </c>
    </row>
    <row r="90" spans="1:6" ht="56" customHeight="1" x14ac:dyDescent="0.2">
      <c r="A90" s="6" t="s">
        <v>143</v>
      </c>
      <c r="B90" s="6" t="s">
        <v>144</v>
      </c>
      <c r="C90" s="6" t="s">
        <v>145</v>
      </c>
      <c r="D90" s="6" t="s">
        <v>13</v>
      </c>
      <c r="E90" s="6" t="s">
        <v>154</v>
      </c>
      <c r="F90" s="6" t="s">
        <v>309</v>
      </c>
    </row>
    <row r="91" spans="1:6" ht="56" customHeight="1" x14ac:dyDescent="0.2">
      <c r="A91" s="4" t="s">
        <v>143</v>
      </c>
      <c r="B91" s="4" t="s">
        <v>144</v>
      </c>
      <c r="C91" s="4" t="s">
        <v>145</v>
      </c>
      <c r="D91" s="4" t="s">
        <v>14</v>
      </c>
      <c r="E91" s="4" t="s">
        <v>155</v>
      </c>
      <c r="F91" s="4" t="s">
        <v>310</v>
      </c>
    </row>
    <row r="92" spans="1:6" ht="56" customHeight="1" x14ac:dyDescent="0.2">
      <c r="A92" s="6" t="s">
        <v>143</v>
      </c>
      <c r="B92" s="6" t="s">
        <v>144</v>
      </c>
      <c r="C92" s="6" t="s">
        <v>145</v>
      </c>
      <c r="D92" s="6" t="s">
        <v>15</v>
      </c>
      <c r="E92" s="6" t="s">
        <v>156</v>
      </c>
      <c r="F92" s="6" t="s">
        <v>311</v>
      </c>
    </row>
    <row r="93" spans="1:6" ht="56" customHeight="1" x14ac:dyDescent="0.2">
      <c r="A93" s="4" t="s">
        <v>143</v>
      </c>
      <c r="B93" s="4" t="s">
        <v>144</v>
      </c>
      <c r="C93" s="4" t="s">
        <v>145</v>
      </c>
      <c r="D93" s="4" t="s">
        <v>16</v>
      </c>
      <c r="E93" s="4" t="s">
        <v>157</v>
      </c>
      <c r="F93" s="4" t="s">
        <v>312</v>
      </c>
    </row>
    <row r="94" spans="1:6" ht="56" customHeight="1" x14ac:dyDescent="0.2">
      <c r="A94" s="6" t="s">
        <v>143</v>
      </c>
      <c r="B94" s="6" t="s">
        <v>144</v>
      </c>
      <c r="C94" s="6" t="s">
        <v>145</v>
      </c>
      <c r="D94" s="6" t="s">
        <v>17</v>
      </c>
      <c r="E94" s="6" t="s">
        <v>158</v>
      </c>
      <c r="F94" s="6" t="s">
        <v>313</v>
      </c>
    </row>
    <row r="95" spans="1:6" ht="56" customHeight="1" x14ac:dyDescent="0.2">
      <c r="A95" s="4" t="s">
        <v>159</v>
      </c>
      <c r="B95" s="4" t="s">
        <v>144</v>
      </c>
      <c r="C95" s="4" t="s">
        <v>160</v>
      </c>
      <c r="D95" s="4" t="s">
        <v>8</v>
      </c>
      <c r="E95" s="4" t="s">
        <v>165</v>
      </c>
      <c r="F95" s="4" t="s">
        <v>304</v>
      </c>
    </row>
    <row r="96" spans="1:6" ht="56" customHeight="1" x14ac:dyDescent="0.2">
      <c r="A96" s="6" t="s">
        <v>159</v>
      </c>
      <c r="B96" s="6" t="s">
        <v>144</v>
      </c>
      <c r="C96" s="6" t="s">
        <v>160</v>
      </c>
      <c r="D96" s="6" t="s">
        <v>9</v>
      </c>
      <c r="E96" s="6" t="s">
        <v>151</v>
      </c>
      <c r="F96" s="6" t="s">
        <v>305</v>
      </c>
    </row>
    <row r="97" spans="1:6" ht="56" customHeight="1" x14ac:dyDescent="0.2">
      <c r="A97" s="4" t="s">
        <v>159</v>
      </c>
      <c r="B97" s="4" t="s">
        <v>144</v>
      </c>
      <c r="C97" s="4" t="s">
        <v>160</v>
      </c>
      <c r="D97" s="4" t="s">
        <v>10</v>
      </c>
      <c r="E97" s="4" t="s">
        <v>166</v>
      </c>
      <c r="F97" s="4" t="s">
        <v>306</v>
      </c>
    </row>
    <row r="98" spans="1:6" ht="56" customHeight="1" x14ac:dyDescent="0.2">
      <c r="A98" s="6" t="s">
        <v>159</v>
      </c>
      <c r="B98" s="6" t="s">
        <v>144</v>
      </c>
      <c r="C98" s="6" t="s">
        <v>160</v>
      </c>
      <c r="D98" s="6" t="s">
        <v>11</v>
      </c>
      <c r="E98" s="6" t="s">
        <v>167</v>
      </c>
      <c r="F98" s="6" t="s">
        <v>307</v>
      </c>
    </row>
    <row r="99" spans="1:6" ht="56" customHeight="1" x14ac:dyDescent="0.2">
      <c r="A99" s="4" t="s">
        <v>159</v>
      </c>
      <c r="B99" s="4" t="s">
        <v>144</v>
      </c>
      <c r="C99" s="4" t="s">
        <v>160</v>
      </c>
      <c r="D99" s="4" t="s">
        <v>12</v>
      </c>
      <c r="E99" s="4" t="s">
        <v>168</v>
      </c>
      <c r="F99" s="4" t="s">
        <v>308</v>
      </c>
    </row>
    <row r="100" spans="1:6" ht="56" customHeight="1" x14ac:dyDescent="0.2">
      <c r="A100" s="6" t="s">
        <v>159</v>
      </c>
      <c r="B100" s="6" t="s">
        <v>144</v>
      </c>
      <c r="C100" s="6" t="s">
        <v>160</v>
      </c>
      <c r="D100" s="6" t="s">
        <v>13</v>
      </c>
      <c r="E100" s="6" t="s">
        <v>169</v>
      </c>
      <c r="F100" s="6" t="s">
        <v>309</v>
      </c>
    </row>
    <row r="101" spans="1:6" ht="56" customHeight="1" x14ac:dyDescent="0.2">
      <c r="A101" s="4" t="s">
        <v>159</v>
      </c>
      <c r="B101" s="4" t="s">
        <v>144</v>
      </c>
      <c r="C101" s="4" t="s">
        <v>160</v>
      </c>
      <c r="D101" s="4" t="s">
        <v>14</v>
      </c>
      <c r="E101" s="4" t="s">
        <v>170</v>
      </c>
      <c r="F101" s="4" t="s">
        <v>310</v>
      </c>
    </row>
    <row r="102" spans="1:6" ht="56" customHeight="1" x14ac:dyDescent="0.2">
      <c r="A102" s="6" t="s">
        <v>159</v>
      </c>
      <c r="B102" s="6" t="s">
        <v>144</v>
      </c>
      <c r="C102" s="6" t="s">
        <v>160</v>
      </c>
      <c r="D102" s="6" t="s">
        <v>15</v>
      </c>
      <c r="E102" s="6" t="s">
        <v>171</v>
      </c>
      <c r="F102" s="6" t="s">
        <v>311</v>
      </c>
    </row>
    <row r="103" spans="1:6" ht="56" customHeight="1" x14ac:dyDescent="0.2">
      <c r="A103" s="4" t="s">
        <v>159</v>
      </c>
      <c r="B103" s="4" t="s">
        <v>144</v>
      </c>
      <c r="C103" s="4" t="s">
        <v>160</v>
      </c>
      <c r="D103" s="4" t="s">
        <v>16</v>
      </c>
      <c r="E103" s="4" t="s">
        <v>172</v>
      </c>
      <c r="F103" s="4" t="s">
        <v>312</v>
      </c>
    </row>
    <row r="104" spans="1:6" ht="56" customHeight="1" x14ac:dyDescent="0.2">
      <c r="A104" s="6" t="s">
        <v>159</v>
      </c>
      <c r="B104" s="6" t="s">
        <v>144</v>
      </c>
      <c r="C104" s="6" t="s">
        <v>160</v>
      </c>
      <c r="D104" s="6" t="s">
        <v>17</v>
      </c>
      <c r="E104" s="6" t="s">
        <v>173</v>
      </c>
      <c r="F104" s="6" t="s">
        <v>313</v>
      </c>
    </row>
    <row r="105" spans="1:6" ht="56" customHeight="1" x14ac:dyDescent="0.2">
      <c r="A105" s="4" t="s">
        <v>174</v>
      </c>
      <c r="B105" s="4" t="s">
        <v>144</v>
      </c>
      <c r="C105" s="4" t="s">
        <v>175</v>
      </c>
      <c r="D105" s="4" t="s">
        <v>8</v>
      </c>
      <c r="E105" s="4" t="s">
        <v>180</v>
      </c>
      <c r="F105" s="4" t="s">
        <v>304</v>
      </c>
    </row>
    <row r="106" spans="1:6" ht="56" customHeight="1" x14ac:dyDescent="0.2">
      <c r="A106" s="6" t="s">
        <v>174</v>
      </c>
      <c r="B106" s="6" t="s">
        <v>144</v>
      </c>
      <c r="C106" s="6" t="s">
        <v>175</v>
      </c>
      <c r="D106" s="6" t="s">
        <v>9</v>
      </c>
      <c r="E106" s="6" t="s">
        <v>181</v>
      </c>
      <c r="F106" s="6" t="s">
        <v>305</v>
      </c>
    </row>
    <row r="107" spans="1:6" ht="56" customHeight="1" x14ac:dyDescent="0.2">
      <c r="A107" s="4" t="s">
        <v>174</v>
      </c>
      <c r="B107" s="4" t="s">
        <v>144</v>
      </c>
      <c r="C107" s="4" t="s">
        <v>175</v>
      </c>
      <c r="D107" s="4" t="s">
        <v>10</v>
      </c>
      <c r="E107" s="4" t="s">
        <v>182</v>
      </c>
      <c r="F107" s="4" t="s">
        <v>306</v>
      </c>
    </row>
    <row r="108" spans="1:6" ht="56" customHeight="1" x14ac:dyDescent="0.2">
      <c r="A108" s="6" t="s">
        <v>174</v>
      </c>
      <c r="B108" s="6" t="s">
        <v>144</v>
      </c>
      <c r="C108" s="6" t="s">
        <v>175</v>
      </c>
      <c r="D108" s="6" t="s">
        <v>11</v>
      </c>
      <c r="E108" s="6" t="s">
        <v>183</v>
      </c>
      <c r="F108" s="6" t="s">
        <v>307</v>
      </c>
    </row>
    <row r="109" spans="1:6" ht="56" customHeight="1" x14ac:dyDescent="0.2">
      <c r="A109" s="4" t="s">
        <v>174</v>
      </c>
      <c r="B109" s="4" t="s">
        <v>144</v>
      </c>
      <c r="C109" s="4" t="s">
        <v>175</v>
      </c>
      <c r="D109" s="4" t="s">
        <v>12</v>
      </c>
      <c r="E109" s="4" t="s">
        <v>184</v>
      </c>
      <c r="F109" s="4" t="s">
        <v>308</v>
      </c>
    </row>
    <row r="110" spans="1:6" ht="56" customHeight="1" x14ac:dyDescent="0.2">
      <c r="A110" s="6" t="s">
        <v>174</v>
      </c>
      <c r="B110" s="6" t="s">
        <v>144</v>
      </c>
      <c r="C110" s="6" t="s">
        <v>175</v>
      </c>
      <c r="D110" s="6" t="s">
        <v>13</v>
      </c>
      <c r="E110" s="6" t="s">
        <v>185</v>
      </c>
      <c r="F110" s="6" t="s">
        <v>309</v>
      </c>
    </row>
    <row r="111" spans="1:6" ht="56" customHeight="1" x14ac:dyDescent="0.2">
      <c r="A111" s="4" t="s">
        <v>174</v>
      </c>
      <c r="B111" s="4" t="s">
        <v>144</v>
      </c>
      <c r="C111" s="4" t="s">
        <v>175</v>
      </c>
      <c r="D111" s="4" t="s">
        <v>14</v>
      </c>
      <c r="E111" s="4" t="s">
        <v>186</v>
      </c>
      <c r="F111" s="4" t="s">
        <v>310</v>
      </c>
    </row>
    <row r="112" spans="1:6" ht="56" customHeight="1" x14ac:dyDescent="0.2">
      <c r="A112" s="6" t="s">
        <v>174</v>
      </c>
      <c r="B112" s="6" t="s">
        <v>144</v>
      </c>
      <c r="C112" s="6" t="s">
        <v>175</v>
      </c>
      <c r="D112" s="6" t="s">
        <v>15</v>
      </c>
      <c r="E112" s="6" t="s">
        <v>187</v>
      </c>
      <c r="F112" s="6" t="s">
        <v>311</v>
      </c>
    </row>
    <row r="113" spans="1:6" ht="56" customHeight="1" x14ac:dyDescent="0.2">
      <c r="A113" s="4" t="s">
        <v>174</v>
      </c>
      <c r="B113" s="4" t="s">
        <v>144</v>
      </c>
      <c r="C113" s="4" t="s">
        <v>175</v>
      </c>
      <c r="D113" s="4" t="s">
        <v>16</v>
      </c>
      <c r="E113" s="4" t="s">
        <v>188</v>
      </c>
      <c r="F113" s="4" t="s">
        <v>312</v>
      </c>
    </row>
    <row r="114" spans="1:6" ht="56" customHeight="1" x14ac:dyDescent="0.2">
      <c r="A114" s="6" t="s">
        <v>174</v>
      </c>
      <c r="B114" s="6" t="s">
        <v>144</v>
      </c>
      <c r="C114" s="6" t="s">
        <v>175</v>
      </c>
      <c r="D114" s="6" t="s">
        <v>17</v>
      </c>
      <c r="E114" s="6" t="s">
        <v>189</v>
      </c>
      <c r="F114" s="6" t="s">
        <v>313</v>
      </c>
    </row>
    <row r="115" spans="1:6" ht="56" customHeight="1" x14ac:dyDescent="0.2">
      <c r="A115" s="4" t="s">
        <v>190</v>
      </c>
      <c r="B115" s="4" t="s">
        <v>144</v>
      </c>
      <c r="C115" s="4" t="s">
        <v>191</v>
      </c>
      <c r="D115" s="4" t="s">
        <v>8</v>
      </c>
      <c r="E115" s="4" t="s">
        <v>196</v>
      </c>
      <c r="F115" s="4" t="s">
        <v>304</v>
      </c>
    </row>
    <row r="116" spans="1:6" ht="56" customHeight="1" x14ac:dyDescent="0.2">
      <c r="A116" s="6" t="s">
        <v>190</v>
      </c>
      <c r="B116" s="6" t="s">
        <v>144</v>
      </c>
      <c r="C116" s="6" t="s">
        <v>191</v>
      </c>
      <c r="D116" s="6" t="s">
        <v>9</v>
      </c>
      <c r="E116" s="6" t="s">
        <v>197</v>
      </c>
      <c r="F116" s="6" t="s">
        <v>305</v>
      </c>
    </row>
    <row r="117" spans="1:6" ht="56" customHeight="1" x14ac:dyDescent="0.2">
      <c r="A117" s="4" t="s">
        <v>190</v>
      </c>
      <c r="B117" s="4" t="s">
        <v>144</v>
      </c>
      <c r="C117" s="4" t="s">
        <v>191</v>
      </c>
      <c r="D117" s="4" t="s">
        <v>10</v>
      </c>
      <c r="E117" s="4" t="s">
        <v>59</v>
      </c>
      <c r="F117" s="4" t="s">
        <v>306</v>
      </c>
    </row>
    <row r="118" spans="1:6" ht="56" customHeight="1" x14ac:dyDescent="0.2">
      <c r="A118" s="6" t="s">
        <v>190</v>
      </c>
      <c r="B118" s="6" t="s">
        <v>144</v>
      </c>
      <c r="C118" s="6" t="s">
        <v>191</v>
      </c>
      <c r="D118" s="6" t="s">
        <v>11</v>
      </c>
      <c r="E118" s="6" t="s">
        <v>198</v>
      </c>
      <c r="F118" s="6" t="s">
        <v>307</v>
      </c>
    </row>
    <row r="119" spans="1:6" ht="56" customHeight="1" x14ac:dyDescent="0.2">
      <c r="A119" s="4" t="s">
        <v>190</v>
      </c>
      <c r="B119" s="4" t="s">
        <v>144</v>
      </c>
      <c r="C119" s="4" t="s">
        <v>191</v>
      </c>
      <c r="D119" s="4" t="s">
        <v>12</v>
      </c>
      <c r="E119" s="4" t="s">
        <v>199</v>
      </c>
      <c r="F119" s="4" t="s">
        <v>308</v>
      </c>
    </row>
    <row r="120" spans="1:6" ht="56" customHeight="1" x14ac:dyDescent="0.2">
      <c r="A120" s="6" t="s">
        <v>190</v>
      </c>
      <c r="B120" s="6" t="s">
        <v>144</v>
      </c>
      <c r="C120" s="6" t="s">
        <v>191</v>
      </c>
      <c r="D120" s="6" t="s">
        <v>13</v>
      </c>
      <c r="E120" s="6" t="s">
        <v>108</v>
      </c>
      <c r="F120" s="6" t="s">
        <v>309</v>
      </c>
    </row>
    <row r="121" spans="1:6" ht="56" customHeight="1" x14ac:dyDescent="0.2">
      <c r="A121" s="4" t="s">
        <v>190</v>
      </c>
      <c r="B121" s="4" t="s">
        <v>144</v>
      </c>
      <c r="C121" s="4" t="s">
        <v>191</v>
      </c>
      <c r="D121" s="4" t="s">
        <v>14</v>
      </c>
      <c r="E121" s="4" t="s">
        <v>200</v>
      </c>
      <c r="F121" s="4" t="s">
        <v>310</v>
      </c>
    </row>
    <row r="122" spans="1:6" ht="56" customHeight="1" x14ac:dyDescent="0.2">
      <c r="A122" s="6" t="s">
        <v>190</v>
      </c>
      <c r="B122" s="6" t="s">
        <v>144</v>
      </c>
      <c r="C122" s="6" t="s">
        <v>191</v>
      </c>
      <c r="D122" s="6" t="s">
        <v>15</v>
      </c>
      <c r="E122" s="6" t="s">
        <v>201</v>
      </c>
      <c r="F122" s="6" t="s">
        <v>311</v>
      </c>
    </row>
    <row r="123" spans="1:6" ht="56" customHeight="1" x14ac:dyDescent="0.2">
      <c r="A123" s="4" t="s">
        <v>190</v>
      </c>
      <c r="B123" s="4" t="s">
        <v>144</v>
      </c>
      <c r="C123" s="4" t="s">
        <v>191</v>
      </c>
      <c r="D123" s="4" t="s">
        <v>16</v>
      </c>
      <c r="E123" s="4" t="s">
        <v>202</v>
      </c>
      <c r="F123" s="4" t="s">
        <v>312</v>
      </c>
    </row>
    <row r="124" spans="1:6" ht="56" customHeight="1" x14ac:dyDescent="0.2">
      <c r="A124" s="6" t="s">
        <v>190</v>
      </c>
      <c r="B124" s="6" t="s">
        <v>144</v>
      </c>
      <c r="C124" s="6" t="s">
        <v>191</v>
      </c>
      <c r="D124" s="6" t="s">
        <v>17</v>
      </c>
      <c r="E124" s="6" t="s">
        <v>203</v>
      </c>
      <c r="F124" s="6" t="s">
        <v>313</v>
      </c>
    </row>
    <row r="125" spans="1:6" ht="56" customHeight="1" x14ac:dyDescent="0.2">
      <c r="A125" s="4" t="s">
        <v>204</v>
      </c>
      <c r="B125" s="4" t="s">
        <v>205</v>
      </c>
      <c r="C125" s="4" t="s">
        <v>206</v>
      </c>
      <c r="D125" s="4" t="s">
        <v>8</v>
      </c>
      <c r="E125" s="4" t="s">
        <v>211</v>
      </c>
      <c r="F125" s="4" t="s">
        <v>304</v>
      </c>
    </row>
    <row r="126" spans="1:6" ht="56" customHeight="1" x14ac:dyDescent="0.2">
      <c r="A126" s="6" t="s">
        <v>204</v>
      </c>
      <c r="B126" s="6" t="s">
        <v>205</v>
      </c>
      <c r="C126" s="6" t="s">
        <v>206</v>
      </c>
      <c r="D126" s="6" t="s">
        <v>9</v>
      </c>
      <c r="E126" s="6" t="s">
        <v>212</v>
      </c>
      <c r="F126" s="6" t="s">
        <v>305</v>
      </c>
    </row>
    <row r="127" spans="1:6" ht="56" customHeight="1" x14ac:dyDescent="0.2">
      <c r="A127" s="4" t="s">
        <v>204</v>
      </c>
      <c r="B127" s="4" t="s">
        <v>205</v>
      </c>
      <c r="C127" s="4" t="s">
        <v>206</v>
      </c>
      <c r="D127" s="4" t="s">
        <v>10</v>
      </c>
      <c r="E127" s="4" t="s">
        <v>182</v>
      </c>
      <c r="F127" s="4" t="s">
        <v>306</v>
      </c>
    </row>
    <row r="128" spans="1:6" ht="56" customHeight="1" x14ac:dyDescent="0.2">
      <c r="A128" s="6" t="s">
        <v>204</v>
      </c>
      <c r="B128" s="6" t="s">
        <v>205</v>
      </c>
      <c r="C128" s="6" t="s">
        <v>206</v>
      </c>
      <c r="D128" s="6" t="s">
        <v>11</v>
      </c>
      <c r="E128" s="6" t="s">
        <v>213</v>
      </c>
      <c r="F128" s="6" t="s">
        <v>307</v>
      </c>
    </row>
    <row r="129" spans="1:6" ht="56" customHeight="1" x14ac:dyDescent="0.2">
      <c r="A129" s="4" t="s">
        <v>204</v>
      </c>
      <c r="B129" s="4" t="s">
        <v>205</v>
      </c>
      <c r="C129" s="4" t="s">
        <v>206</v>
      </c>
      <c r="D129" s="4" t="s">
        <v>12</v>
      </c>
      <c r="E129" s="4" t="s">
        <v>214</v>
      </c>
      <c r="F129" s="4" t="s">
        <v>308</v>
      </c>
    </row>
    <row r="130" spans="1:6" ht="56" customHeight="1" x14ac:dyDescent="0.2">
      <c r="A130" s="6" t="s">
        <v>204</v>
      </c>
      <c r="B130" s="6" t="s">
        <v>205</v>
      </c>
      <c r="C130" s="6" t="s">
        <v>206</v>
      </c>
      <c r="D130" s="6" t="s">
        <v>13</v>
      </c>
      <c r="E130" s="6" t="s">
        <v>215</v>
      </c>
      <c r="F130" s="6" t="s">
        <v>309</v>
      </c>
    </row>
    <row r="131" spans="1:6" ht="56" customHeight="1" x14ac:dyDescent="0.2">
      <c r="A131" s="4" t="s">
        <v>204</v>
      </c>
      <c r="B131" s="4" t="s">
        <v>205</v>
      </c>
      <c r="C131" s="4" t="s">
        <v>206</v>
      </c>
      <c r="D131" s="4" t="s">
        <v>14</v>
      </c>
      <c r="E131" s="4" t="s">
        <v>216</v>
      </c>
      <c r="F131" s="4" t="s">
        <v>310</v>
      </c>
    </row>
    <row r="132" spans="1:6" ht="56" customHeight="1" x14ac:dyDescent="0.2">
      <c r="A132" s="6" t="s">
        <v>204</v>
      </c>
      <c r="B132" s="6" t="s">
        <v>205</v>
      </c>
      <c r="C132" s="6" t="s">
        <v>206</v>
      </c>
      <c r="D132" s="6" t="s">
        <v>15</v>
      </c>
      <c r="E132" s="6" t="s">
        <v>217</v>
      </c>
      <c r="F132" s="6" t="s">
        <v>311</v>
      </c>
    </row>
    <row r="133" spans="1:6" ht="56" customHeight="1" x14ac:dyDescent="0.2">
      <c r="A133" s="4" t="s">
        <v>204</v>
      </c>
      <c r="B133" s="4" t="s">
        <v>205</v>
      </c>
      <c r="C133" s="4" t="s">
        <v>206</v>
      </c>
      <c r="D133" s="4" t="s">
        <v>16</v>
      </c>
      <c r="E133" s="4" t="s">
        <v>218</v>
      </c>
      <c r="F133" s="4" t="s">
        <v>312</v>
      </c>
    </row>
    <row r="134" spans="1:6" ht="56" customHeight="1" x14ac:dyDescent="0.2">
      <c r="A134" s="6" t="s">
        <v>204</v>
      </c>
      <c r="B134" s="6" t="s">
        <v>205</v>
      </c>
      <c r="C134" s="6" t="s">
        <v>206</v>
      </c>
      <c r="D134" s="6" t="s">
        <v>17</v>
      </c>
      <c r="E134" s="6" t="s">
        <v>219</v>
      </c>
      <c r="F134" s="6" t="s">
        <v>313</v>
      </c>
    </row>
    <row r="135" spans="1:6" ht="56" customHeight="1" x14ac:dyDescent="0.2">
      <c r="A135" s="4" t="s">
        <v>220</v>
      </c>
      <c r="B135" s="4" t="s">
        <v>205</v>
      </c>
      <c r="C135" s="4" t="s">
        <v>221</v>
      </c>
      <c r="D135" s="4" t="s">
        <v>8</v>
      </c>
      <c r="E135" s="4" t="s">
        <v>226</v>
      </c>
      <c r="F135" s="4" t="s">
        <v>304</v>
      </c>
    </row>
    <row r="136" spans="1:6" ht="56" customHeight="1" x14ac:dyDescent="0.2">
      <c r="A136" s="6" t="s">
        <v>220</v>
      </c>
      <c r="B136" s="6" t="s">
        <v>205</v>
      </c>
      <c r="C136" s="6" t="s">
        <v>221</v>
      </c>
      <c r="D136" s="6" t="s">
        <v>9</v>
      </c>
      <c r="E136" s="6" t="s">
        <v>181</v>
      </c>
      <c r="F136" s="6" t="s">
        <v>305</v>
      </c>
    </row>
    <row r="137" spans="1:6" ht="56" customHeight="1" x14ac:dyDescent="0.2">
      <c r="A137" s="4" t="s">
        <v>220</v>
      </c>
      <c r="B137" s="4" t="s">
        <v>205</v>
      </c>
      <c r="C137" s="4" t="s">
        <v>221</v>
      </c>
      <c r="D137" s="4" t="s">
        <v>10</v>
      </c>
      <c r="E137" s="4" t="s">
        <v>182</v>
      </c>
      <c r="F137" s="4" t="s">
        <v>306</v>
      </c>
    </row>
    <row r="138" spans="1:6" ht="56" customHeight="1" x14ac:dyDescent="0.2">
      <c r="A138" s="6" t="s">
        <v>220</v>
      </c>
      <c r="B138" s="6" t="s">
        <v>205</v>
      </c>
      <c r="C138" s="6" t="s">
        <v>221</v>
      </c>
      <c r="D138" s="6" t="s">
        <v>11</v>
      </c>
      <c r="E138" s="6" t="s">
        <v>227</v>
      </c>
      <c r="F138" s="6" t="s">
        <v>307</v>
      </c>
    </row>
    <row r="139" spans="1:6" ht="56" customHeight="1" x14ac:dyDescent="0.2">
      <c r="A139" s="4" t="s">
        <v>220</v>
      </c>
      <c r="B139" s="4" t="s">
        <v>205</v>
      </c>
      <c r="C139" s="4" t="s">
        <v>221</v>
      </c>
      <c r="D139" s="4" t="s">
        <v>12</v>
      </c>
      <c r="E139" s="4" t="s">
        <v>228</v>
      </c>
      <c r="F139" s="4" t="s">
        <v>308</v>
      </c>
    </row>
    <row r="140" spans="1:6" ht="56" customHeight="1" x14ac:dyDescent="0.2">
      <c r="A140" s="6" t="s">
        <v>220</v>
      </c>
      <c r="B140" s="6" t="s">
        <v>205</v>
      </c>
      <c r="C140" s="6" t="s">
        <v>221</v>
      </c>
      <c r="D140" s="6" t="s">
        <v>13</v>
      </c>
      <c r="E140" s="6" t="s">
        <v>229</v>
      </c>
      <c r="F140" s="6" t="s">
        <v>309</v>
      </c>
    </row>
    <row r="141" spans="1:6" ht="56" customHeight="1" x14ac:dyDescent="0.2">
      <c r="A141" s="4" t="s">
        <v>220</v>
      </c>
      <c r="B141" s="4" t="s">
        <v>205</v>
      </c>
      <c r="C141" s="4" t="s">
        <v>221</v>
      </c>
      <c r="D141" s="4" t="s">
        <v>14</v>
      </c>
      <c r="E141" s="4" t="s">
        <v>230</v>
      </c>
      <c r="F141" s="4" t="s">
        <v>310</v>
      </c>
    </row>
    <row r="142" spans="1:6" ht="56" customHeight="1" x14ac:dyDescent="0.2">
      <c r="A142" s="6" t="s">
        <v>220</v>
      </c>
      <c r="B142" s="6" t="s">
        <v>205</v>
      </c>
      <c r="C142" s="6" t="s">
        <v>221</v>
      </c>
      <c r="D142" s="6" t="s">
        <v>15</v>
      </c>
      <c r="E142" s="6" t="s">
        <v>187</v>
      </c>
      <c r="F142" s="6" t="s">
        <v>311</v>
      </c>
    </row>
    <row r="143" spans="1:6" ht="56" customHeight="1" x14ac:dyDescent="0.2">
      <c r="A143" s="4" t="s">
        <v>220</v>
      </c>
      <c r="B143" s="4" t="s">
        <v>205</v>
      </c>
      <c r="C143" s="4" t="s">
        <v>221</v>
      </c>
      <c r="D143" s="4" t="s">
        <v>16</v>
      </c>
      <c r="E143" s="4" t="s">
        <v>231</v>
      </c>
      <c r="F143" s="4" t="s">
        <v>312</v>
      </c>
    </row>
    <row r="144" spans="1:6" ht="56" customHeight="1" x14ac:dyDescent="0.2">
      <c r="A144" s="6" t="s">
        <v>220</v>
      </c>
      <c r="B144" s="6" t="s">
        <v>205</v>
      </c>
      <c r="C144" s="6" t="s">
        <v>221</v>
      </c>
      <c r="D144" s="6" t="s">
        <v>17</v>
      </c>
      <c r="E144" s="6" t="s">
        <v>232</v>
      </c>
      <c r="F144" s="6" t="s">
        <v>313</v>
      </c>
    </row>
    <row r="145" spans="1:6" ht="56" customHeight="1" x14ac:dyDescent="0.2">
      <c r="A145" s="4" t="s">
        <v>233</v>
      </c>
      <c r="B145" s="4" t="s">
        <v>205</v>
      </c>
      <c r="C145" s="4" t="s">
        <v>234</v>
      </c>
      <c r="D145" s="4" t="s">
        <v>8</v>
      </c>
      <c r="E145" s="4" t="s">
        <v>239</v>
      </c>
      <c r="F145" s="4" t="s">
        <v>304</v>
      </c>
    </row>
    <row r="146" spans="1:6" ht="56" customHeight="1" x14ac:dyDescent="0.2">
      <c r="A146" s="6" t="s">
        <v>233</v>
      </c>
      <c r="B146" s="6" t="s">
        <v>205</v>
      </c>
      <c r="C146" s="6" t="s">
        <v>234</v>
      </c>
      <c r="D146" s="6" t="s">
        <v>9</v>
      </c>
      <c r="E146" s="6" t="s">
        <v>240</v>
      </c>
      <c r="F146" s="6" t="s">
        <v>305</v>
      </c>
    </row>
    <row r="147" spans="1:6" ht="56" customHeight="1" x14ac:dyDescent="0.2">
      <c r="A147" s="4" t="s">
        <v>233</v>
      </c>
      <c r="B147" s="4" t="s">
        <v>205</v>
      </c>
      <c r="C147" s="4" t="s">
        <v>234</v>
      </c>
      <c r="D147" s="4" t="s">
        <v>10</v>
      </c>
      <c r="E147" s="4" t="s">
        <v>182</v>
      </c>
      <c r="F147" s="4" t="s">
        <v>306</v>
      </c>
    </row>
    <row r="148" spans="1:6" ht="56" customHeight="1" x14ac:dyDescent="0.2">
      <c r="A148" s="6" t="s">
        <v>233</v>
      </c>
      <c r="B148" s="6" t="s">
        <v>205</v>
      </c>
      <c r="C148" s="6" t="s">
        <v>234</v>
      </c>
      <c r="D148" s="6" t="s">
        <v>11</v>
      </c>
      <c r="E148" s="6" t="s">
        <v>241</v>
      </c>
      <c r="F148" s="6" t="s">
        <v>307</v>
      </c>
    </row>
    <row r="149" spans="1:6" ht="56" customHeight="1" x14ac:dyDescent="0.2">
      <c r="A149" s="4" t="s">
        <v>233</v>
      </c>
      <c r="B149" s="4" t="s">
        <v>205</v>
      </c>
      <c r="C149" s="4" t="s">
        <v>234</v>
      </c>
      <c r="D149" s="4" t="s">
        <v>12</v>
      </c>
      <c r="E149" s="4" t="s">
        <v>242</v>
      </c>
      <c r="F149" s="4" t="s">
        <v>308</v>
      </c>
    </row>
    <row r="150" spans="1:6" ht="56" customHeight="1" x14ac:dyDescent="0.2">
      <c r="A150" s="6" t="s">
        <v>233</v>
      </c>
      <c r="B150" s="6" t="s">
        <v>205</v>
      </c>
      <c r="C150" s="6" t="s">
        <v>234</v>
      </c>
      <c r="D150" s="6" t="s">
        <v>13</v>
      </c>
      <c r="E150" s="6" t="s">
        <v>243</v>
      </c>
      <c r="F150" s="6" t="s">
        <v>309</v>
      </c>
    </row>
    <row r="151" spans="1:6" ht="56" customHeight="1" x14ac:dyDescent="0.2">
      <c r="A151" s="4" t="s">
        <v>233</v>
      </c>
      <c r="B151" s="4" t="s">
        <v>205</v>
      </c>
      <c r="C151" s="4" t="s">
        <v>234</v>
      </c>
      <c r="D151" s="4" t="s">
        <v>14</v>
      </c>
      <c r="E151" s="4" t="s">
        <v>244</v>
      </c>
      <c r="F151" s="4" t="s">
        <v>310</v>
      </c>
    </row>
    <row r="152" spans="1:6" ht="56" customHeight="1" x14ac:dyDescent="0.2">
      <c r="A152" s="6" t="s">
        <v>233</v>
      </c>
      <c r="B152" s="6" t="s">
        <v>205</v>
      </c>
      <c r="C152" s="6" t="s">
        <v>234</v>
      </c>
      <c r="D152" s="6" t="s">
        <v>15</v>
      </c>
      <c r="E152" s="6" t="s">
        <v>245</v>
      </c>
      <c r="F152" s="6" t="s">
        <v>311</v>
      </c>
    </row>
    <row r="153" spans="1:6" ht="56" customHeight="1" x14ac:dyDescent="0.2">
      <c r="A153" s="4" t="s">
        <v>233</v>
      </c>
      <c r="B153" s="4" t="s">
        <v>205</v>
      </c>
      <c r="C153" s="4" t="s">
        <v>234</v>
      </c>
      <c r="D153" s="4" t="s">
        <v>16</v>
      </c>
      <c r="E153" s="4" t="s">
        <v>246</v>
      </c>
      <c r="F153" s="4" t="s">
        <v>312</v>
      </c>
    </row>
    <row r="154" spans="1:6" ht="56" customHeight="1" x14ac:dyDescent="0.2">
      <c r="A154" s="6" t="s">
        <v>233</v>
      </c>
      <c r="B154" s="6" t="s">
        <v>205</v>
      </c>
      <c r="C154" s="6" t="s">
        <v>234</v>
      </c>
      <c r="D154" s="6" t="s">
        <v>17</v>
      </c>
      <c r="E154" s="6" t="s">
        <v>247</v>
      </c>
      <c r="F154" s="6" t="s">
        <v>313</v>
      </c>
    </row>
    <row r="155" spans="1:6" ht="56" customHeight="1" x14ac:dyDescent="0.2">
      <c r="A155" s="4" t="s">
        <v>248</v>
      </c>
      <c r="B155" s="4" t="s">
        <v>205</v>
      </c>
      <c r="C155" s="4" t="s">
        <v>249</v>
      </c>
      <c r="D155" s="4" t="s">
        <v>8</v>
      </c>
      <c r="E155" s="4" t="s">
        <v>254</v>
      </c>
      <c r="F155" s="4" t="s">
        <v>304</v>
      </c>
    </row>
    <row r="156" spans="1:6" ht="56" customHeight="1" x14ac:dyDescent="0.2">
      <c r="A156" s="6" t="s">
        <v>248</v>
      </c>
      <c r="B156" s="6" t="s">
        <v>205</v>
      </c>
      <c r="C156" s="6" t="s">
        <v>249</v>
      </c>
      <c r="D156" s="6" t="s">
        <v>9</v>
      </c>
      <c r="E156" s="6" t="s">
        <v>255</v>
      </c>
      <c r="F156" s="6" t="s">
        <v>305</v>
      </c>
    </row>
    <row r="157" spans="1:6" ht="56" customHeight="1" x14ac:dyDescent="0.2">
      <c r="A157" s="4" t="s">
        <v>248</v>
      </c>
      <c r="B157" s="4" t="s">
        <v>205</v>
      </c>
      <c r="C157" s="4" t="s">
        <v>249</v>
      </c>
      <c r="D157" s="4" t="s">
        <v>10</v>
      </c>
      <c r="E157" s="4" t="s">
        <v>256</v>
      </c>
      <c r="F157" s="4" t="s">
        <v>306</v>
      </c>
    </row>
    <row r="158" spans="1:6" ht="56" customHeight="1" x14ac:dyDescent="0.2">
      <c r="A158" s="6" t="s">
        <v>248</v>
      </c>
      <c r="B158" s="6" t="s">
        <v>205</v>
      </c>
      <c r="C158" s="6" t="s">
        <v>249</v>
      </c>
      <c r="D158" s="6" t="s">
        <v>11</v>
      </c>
      <c r="E158" s="6" t="s">
        <v>257</v>
      </c>
      <c r="F158" s="6" t="s">
        <v>307</v>
      </c>
    </row>
    <row r="159" spans="1:6" ht="56" customHeight="1" x14ac:dyDescent="0.2">
      <c r="A159" s="4" t="s">
        <v>248</v>
      </c>
      <c r="B159" s="4" t="s">
        <v>205</v>
      </c>
      <c r="C159" s="4" t="s">
        <v>249</v>
      </c>
      <c r="D159" s="4" t="s">
        <v>12</v>
      </c>
      <c r="E159" s="4" t="s">
        <v>258</v>
      </c>
      <c r="F159" s="4" t="s">
        <v>308</v>
      </c>
    </row>
    <row r="160" spans="1:6" ht="56" customHeight="1" x14ac:dyDescent="0.2">
      <c r="A160" s="6" t="s">
        <v>248</v>
      </c>
      <c r="B160" s="6" t="s">
        <v>205</v>
      </c>
      <c r="C160" s="6" t="s">
        <v>249</v>
      </c>
      <c r="D160" s="6" t="s">
        <v>13</v>
      </c>
      <c r="E160" s="6" t="s">
        <v>62</v>
      </c>
      <c r="F160" s="6" t="s">
        <v>309</v>
      </c>
    </row>
    <row r="161" spans="1:6" ht="56" customHeight="1" x14ac:dyDescent="0.2">
      <c r="A161" s="4" t="s">
        <v>248</v>
      </c>
      <c r="B161" s="4" t="s">
        <v>205</v>
      </c>
      <c r="C161" s="4" t="s">
        <v>249</v>
      </c>
      <c r="D161" s="4" t="s">
        <v>14</v>
      </c>
      <c r="E161" s="4" t="s">
        <v>259</v>
      </c>
      <c r="F161" s="4" t="s">
        <v>310</v>
      </c>
    </row>
    <row r="162" spans="1:6" ht="56" customHeight="1" x14ac:dyDescent="0.2">
      <c r="A162" s="6" t="s">
        <v>248</v>
      </c>
      <c r="B162" s="6" t="s">
        <v>205</v>
      </c>
      <c r="C162" s="6" t="s">
        <v>249</v>
      </c>
      <c r="D162" s="6" t="s">
        <v>15</v>
      </c>
      <c r="E162" s="6" t="s">
        <v>260</v>
      </c>
      <c r="F162" s="6" t="s">
        <v>311</v>
      </c>
    </row>
    <row r="163" spans="1:6" ht="56" customHeight="1" x14ac:dyDescent="0.2">
      <c r="A163" s="4" t="s">
        <v>248</v>
      </c>
      <c r="B163" s="4" t="s">
        <v>205</v>
      </c>
      <c r="C163" s="4" t="s">
        <v>249</v>
      </c>
      <c r="D163" s="4" t="s">
        <v>16</v>
      </c>
      <c r="E163" s="4" t="s">
        <v>261</v>
      </c>
      <c r="F163" s="4" t="s">
        <v>312</v>
      </c>
    </row>
    <row r="164" spans="1:6" ht="56" customHeight="1" x14ac:dyDescent="0.2">
      <c r="A164" s="6" t="s">
        <v>248</v>
      </c>
      <c r="B164" s="6" t="s">
        <v>205</v>
      </c>
      <c r="C164" s="6" t="s">
        <v>249</v>
      </c>
      <c r="D164" s="6" t="s">
        <v>17</v>
      </c>
      <c r="E164" s="6" t="s">
        <v>262</v>
      </c>
      <c r="F164" s="6" t="s">
        <v>313</v>
      </c>
    </row>
  </sheetData>
  <autoFilter ref="A4:F164" xr:uid="{00000000-0009-0000-0000-000002000000}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38" customWidth="1"/>
    <col min="4" max="4" width="20" customWidth="1"/>
    <col min="5" max="6" width="18" customWidth="1"/>
    <col min="7" max="7" width="24" customWidth="1"/>
    <col min="8" max="8" width="18" customWidth="1"/>
  </cols>
  <sheetData>
    <row r="1" spans="1:8" ht="21" x14ac:dyDescent="0.25">
      <c r="A1" s="15" t="s">
        <v>314</v>
      </c>
      <c r="B1" s="13"/>
      <c r="C1" s="13"/>
      <c r="D1" s="13"/>
      <c r="E1" s="13"/>
      <c r="F1" s="13"/>
      <c r="G1" s="13"/>
      <c r="H1" s="13"/>
    </row>
    <row r="2" spans="1:8" x14ac:dyDescent="0.2">
      <c r="A2" s="12" t="s">
        <v>315</v>
      </c>
      <c r="B2" s="13"/>
      <c r="C2" s="13"/>
      <c r="D2" s="13"/>
      <c r="E2" s="13"/>
      <c r="F2" s="13"/>
      <c r="G2" s="13"/>
      <c r="H2" s="13"/>
    </row>
    <row r="4" spans="1:8" ht="16" x14ac:dyDescent="0.2">
      <c r="A4" s="7" t="s">
        <v>300</v>
      </c>
      <c r="B4" s="7" t="s">
        <v>2</v>
      </c>
      <c r="C4" s="7" t="s">
        <v>3</v>
      </c>
      <c r="D4" s="7" t="s">
        <v>316</v>
      </c>
      <c r="E4" s="7" t="s">
        <v>317</v>
      </c>
      <c r="F4" s="7" t="s">
        <v>318</v>
      </c>
      <c r="G4" s="7" t="s">
        <v>319</v>
      </c>
      <c r="H4" s="7" t="s">
        <v>320</v>
      </c>
    </row>
    <row r="5" spans="1:8" ht="38" customHeight="1" x14ac:dyDescent="0.2">
      <c r="A5" s="4" t="s">
        <v>18</v>
      </c>
      <c r="B5" s="4" t="s">
        <v>19</v>
      </c>
      <c r="C5" s="4" t="s">
        <v>20</v>
      </c>
      <c r="D5" s="4"/>
      <c r="E5" s="4"/>
      <c r="F5" s="4" t="str">
        <f t="shared" ref="F5:F20" si="0">IF(OR(D5="",E5=""),"",D5*E5)</f>
        <v/>
      </c>
      <c r="G5" s="4"/>
      <c r="H5" s="4" t="str">
        <f t="shared" ref="H5:H20" si="1">IF(OR(F5="",G5=""),"",ROUND(F5*(6-G5)/5,0))</f>
        <v/>
      </c>
    </row>
    <row r="6" spans="1:8" ht="38" customHeight="1" x14ac:dyDescent="0.2">
      <c r="A6" s="4" t="s">
        <v>35</v>
      </c>
      <c r="B6" s="4" t="s">
        <v>19</v>
      </c>
      <c r="C6" s="4" t="s">
        <v>36</v>
      </c>
      <c r="D6" s="4"/>
      <c r="E6" s="4"/>
      <c r="F6" s="4" t="str">
        <f t="shared" si="0"/>
        <v/>
      </c>
      <c r="G6" s="4"/>
      <c r="H6" s="4" t="str">
        <f t="shared" si="1"/>
        <v/>
      </c>
    </row>
    <row r="7" spans="1:8" ht="38" customHeight="1" x14ac:dyDescent="0.2">
      <c r="A7" s="4" t="s">
        <v>51</v>
      </c>
      <c r="B7" s="4" t="s">
        <v>19</v>
      </c>
      <c r="C7" s="4" t="s">
        <v>52</v>
      </c>
      <c r="D7" s="4"/>
      <c r="E7" s="4"/>
      <c r="F7" s="4" t="str">
        <f t="shared" si="0"/>
        <v/>
      </c>
      <c r="G7" s="4"/>
      <c r="H7" s="4" t="str">
        <f t="shared" si="1"/>
        <v/>
      </c>
    </row>
    <row r="8" spans="1:8" ht="38" customHeight="1" x14ac:dyDescent="0.2">
      <c r="A8" s="4" t="s">
        <v>67</v>
      </c>
      <c r="B8" s="4" t="s">
        <v>19</v>
      </c>
      <c r="C8" s="4" t="s">
        <v>68</v>
      </c>
      <c r="D8" s="4"/>
      <c r="E8" s="4"/>
      <c r="F8" s="4" t="str">
        <f t="shared" si="0"/>
        <v/>
      </c>
      <c r="G8" s="4"/>
      <c r="H8" s="4" t="str">
        <f t="shared" si="1"/>
        <v/>
      </c>
    </row>
    <row r="9" spans="1:8" ht="38" customHeight="1" x14ac:dyDescent="0.2">
      <c r="A9" s="4" t="s">
        <v>82</v>
      </c>
      <c r="B9" s="4" t="s">
        <v>83</v>
      </c>
      <c r="C9" s="4" t="s">
        <v>84</v>
      </c>
      <c r="D9" s="4"/>
      <c r="E9" s="4"/>
      <c r="F9" s="4" t="str">
        <f t="shared" si="0"/>
        <v/>
      </c>
      <c r="G9" s="4"/>
      <c r="H9" s="4" t="str">
        <f t="shared" si="1"/>
        <v/>
      </c>
    </row>
    <row r="10" spans="1:8" ht="38" customHeight="1" x14ac:dyDescent="0.2">
      <c r="A10" s="4" t="s">
        <v>98</v>
      </c>
      <c r="B10" s="4" t="s">
        <v>83</v>
      </c>
      <c r="C10" s="4" t="s">
        <v>99</v>
      </c>
      <c r="D10" s="4"/>
      <c r="E10" s="4"/>
      <c r="F10" s="4" t="str">
        <f t="shared" si="0"/>
        <v/>
      </c>
      <c r="G10" s="4"/>
      <c r="H10" s="4" t="str">
        <f t="shared" si="1"/>
        <v/>
      </c>
    </row>
    <row r="11" spans="1:8" ht="38" customHeight="1" x14ac:dyDescent="0.2">
      <c r="A11" s="4" t="s">
        <v>113</v>
      </c>
      <c r="B11" s="4" t="s">
        <v>83</v>
      </c>
      <c r="C11" s="4" t="s">
        <v>114</v>
      </c>
      <c r="D11" s="4"/>
      <c r="E11" s="4"/>
      <c r="F11" s="4" t="str">
        <f t="shared" si="0"/>
        <v/>
      </c>
      <c r="G11" s="4"/>
      <c r="H11" s="4" t="str">
        <f t="shared" si="1"/>
        <v/>
      </c>
    </row>
    <row r="12" spans="1:8" ht="38" customHeight="1" x14ac:dyDescent="0.2">
      <c r="A12" s="4" t="s">
        <v>128</v>
      </c>
      <c r="B12" s="4" t="s">
        <v>83</v>
      </c>
      <c r="C12" s="4" t="s">
        <v>129</v>
      </c>
      <c r="D12" s="4"/>
      <c r="E12" s="4"/>
      <c r="F12" s="4" t="str">
        <f t="shared" si="0"/>
        <v/>
      </c>
      <c r="G12" s="4"/>
      <c r="H12" s="4" t="str">
        <f t="shared" si="1"/>
        <v/>
      </c>
    </row>
    <row r="13" spans="1:8" ht="38" customHeight="1" x14ac:dyDescent="0.2">
      <c r="A13" s="4" t="s">
        <v>143</v>
      </c>
      <c r="B13" s="4" t="s">
        <v>144</v>
      </c>
      <c r="C13" s="4" t="s">
        <v>145</v>
      </c>
      <c r="D13" s="4"/>
      <c r="E13" s="4"/>
      <c r="F13" s="4" t="str">
        <f t="shared" si="0"/>
        <v/>
      </c>
      <c r="G13" s="4"/>
      <c r="H13" s="4" t="str">
        <f t="shared" si="1"/>
        <v/>
      </c>
    </row>
    <row r="14" spans="1:8" ht="38" customHeight="1" x14ac:dyDescent="0.2">
      <c r="A14" s="4" t="s">
        <v>159</v>
      </c>
      <c r="B14" s="4" t="s">
        <v>144</v>
      </c>
      <c r="C14" s="4" t="s">
        <v>160</v>
      </c>
      <c r="D14" s="4"/>
      <c r="E14" s="4"/>
      <c r="F14" s="4" t="str">
        <f t="shared" si="0"/>
        <v/>
      </c>
      <c r="G14" s="4"/>
      <c r="H14" s="4" t="str">
        <f t="shared" si="1"/>
        <v/>
      </c>
    </row>
    <row r="15" spans="1:8" ht="38" customHeight="1" x14ac:dyDescent="0.2">
      <c r="A15" s="4" t="s">
        <v>174</v>
      </c>
      <c r="B15" s="4" t="s">
        <v>144</v>
      </c>
      <c r="C15" s="4" t="s">
        <v>175</v>
      </c>
      <c r="D15" s="4"/>
      <c r="E15" s="4"/>
      <c r="F15" s="4" t="str">
        <f t="shared" si="0"/>
        <v/>
      </c>
      <c r="G15" s="4"/>
      <c r="H15" s="4" t="str">
        <f t="shared" si="1"/>
        <v/>
      </c>
    </row>
    <row r="16" spans="1:8" ht="38" customHeight="1" x14ac:dyDescent="0.2">
      <c r="A16" s="4" t="s">
        <v>190</v>
      </c>
      <c r="B16" s="4" t="s">
        <v>144</v>
      </c>
      <c r="C16" s="4" t="s">
        <v>191</v>
      </c>
      <c r="D16" s="4"/>
      <c r="E16" s="4"/>
      <c r="F16" s="4" t="str">
        <f t="shared" si="0"/>
        <v/>
      </c>
      <c r="G16" s="4"/>
      <c r="H16" s="4" t="str">
        <f t="shared" si="1"/>
        <v/>
      </c>
    </row>
    <row r="17" spans="1:8" ht="38" customHeight="1" x14ac:dyDescent="0.2">
      <c r="A17" s="4" t="s">
        <v>204</v>
      </c>
      <c r="B17" s="4" t="s">
        <v>205</v>
      </c>
      <c r="C17" s="4" t="s">
        <v>206</v>
      </c>
      <c r="D17" s="4"/>
      <c r="E17" s="4"/>
      <c r="F17" s="4" t="str">
        <f t="shared" si="0"/>
        <v/>
      </c>
      <c r="G17" s="4"/>
      <c r="H17" s="4" t="str">
        <f t="shared" si="1"/>
        <v/>
      </c>
    </row>
    <row r="18" spans="1:8" ht="38" customHeight="1" x14ac:dyDescent="0.2">
      <c r="A18" s="4" t="s">
        <v>220</v>
      </c>
      <c r="B18" s="4" t="s">
        <v>205</v>
      </c>
      <c r="C18" s="4" t="s">
        <v>221</v>
      </c>
      <c r="D18" s="4"/>
      <c r="E18" s="4"/>
      <c r="F18" s="4" t="str">
        <f t="shared" si="0"/>
        <v/>
      </c>
      <c r="G18" s="4"/>
      <c r="H18" s="4" t="str">
        <f t="shared" si="1"/>
        <v/>
      </c>
    </row>
    <row r="19" spans="1:8" ht="38" customHeight="1" x14ac:dyDescent="0.2">
      <c r="A19" s="4" t="s">
        <v>233</v>
      </c>
      <c r="B19" s="4" t="s">
        <v>205</v>
      </c>
      <c r="C19" s="4" t="s">
        <v>234</v>
      </c>
      <c r="D19" s="4"/>
      <c r="E19" s="4"/>
      <c r="F19" s="4" t="str">
        <f t="shared" si="0"/>
        <v/>
      </c>
      <c r="G19" s="4"/>
      <c r="H19" s="4" t="str">
        <f t="shared" si="1"/>
        <v/>
      </c>
    </row>
    <row r="20" spans="1:8" ht="38" customHeight="1" x14ac:dyDescent="0.2">
      <c r="A20" s="4" t="s">
        <v>248</v>
      </c>
      <c r="B20" s="4" t="s">
        <v>205</v>
      </c>
      <c r="C20" s="4" t="s">
        <v>249</v>
      </c>
      <c r="D20" s="4"/>
      <c r="E20" s="4"/>
      <c r="F20" s="4" t="str">
        <f t="shared" si="0"/>
        <v/>
      </c>
      <c r="G20" s="4"/>
      <c r="H20" s="4" t="str">
        <f t="shared" si="1"/>
        <v/>
      </c>
    </row>
  </sheetData>
  <mergeCells count="2">
    <mergeCell ref="A2:H2"/>
    <mergeCell ref="A1:H1"/>
  </mergeCells>
  <dataValidations count="1">
    <dataValidation type="whole" allowBlank="1" sqref="D5:E20 G5:G20" xr:uid="{00000000-0002-0000-0300-000000000000}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2" width="62" customWidth="1"/>
    <col min="3" max="4" width="20" customWidth="1"/>
  </cols>
  <sheetData>
    <row r="1" spans="1:4" ht="21" x14ac:dyDescent="0.25">
      <c r="A1" s="15" t="s">
        <v>321</v>
      </c>
      <c r="B1" s="13"/>
      <c r="C1" s="13"/>
      <c r="D1" s="13"/>
    </row>
    <row r="3" spans="1:4" x14ac:dyDescent="0.2">
      <c r="A3" s="9" t="s">
        <v>322</v>
      </c>
      <c r="B3" s="9" t="s">
        <v>323</v>
      </c>
      <c r="C3" s="9"/>
      <c r="D3" s="9"/>
    </row>
    <row r="4" spans="1:4" ht="54" customHeight="1" x14ac:dyDescent="0.2">
      <c r="A4" s="10" t="s">
        <v>324</v>
      </c>
      <c r="B4" s="16" t="s">
        <v>325</v>
      </c>
      <c r="C4" s="17"/>
      <c r="D4" s="17"/>
    </row>
    <row r="5" spans="1:4" ht="54" customHeight="1" x14ac:dyDescent="0.2">
      <c r="A5" s="10" t="s">
        <v>326</v>
      </c>
      <c r="B5" s="16" t="s">
        <v>327</v>
      </c>
      <c r="C5" s="17"/>
      <c r="D5" s="17"/>
    </row>
    <row r="6" spans="1:4" ht="54" customHeight="1" x14ac:dyDescent="0.2">
      <c r="A6" s="10" t="s">
        <v>328</v>
      </c>
      <c r="B6" s="16" t="s">
        <v>329</v>
      </c>
      <c r="C6" s="17"/>
      <c r="D6" s="17"/>
    </row>
    <row r="7" spans="1:4" ht="54" customHeight="1" x14ac:dyDescent="0.2">
      <c r="A7" s="10" t="s">
        <v>330</v>
      </c>
      <c r="B7" s="16" t="s">
        <v>331</v>
      </c>
      <c r="C7" s="17"/>
      <c r="D7" s="17"/>
    </row>
    <row r="8" spans="1:4" ht="54" customHeight="1" x14ac:dyDescent="0.2">
      <c r="A8" s="10" t="s">
        <v>332</v>
      </c>
      <c r="B8" s="16" t="s">
        <v>333</v>
      </c>
      <c r="C8" s="17"/>
      <c r="D8" s="17"/>
    </row>
    <row r="9" spans="1:4" ht="54" customHeight="1" x14ac:dyDescent="0.2">
      <c r="A9" s="10" t="s">
        <v>13</v>
      </c>
      <c r="B9" s="16" t="s">
        <v>334</v>
      </c>
      <c r="C9" s="17"/>
      <c r="D9" s="17"/>
    </row>
    <row r="10" spans="1:4" ht="54" customHeight="1" x14ac:dyDescent="0.2">
      <c r="A10" s="10" t="s">
        <v>14</v>
      </c>
      <c r="B10" s="16" t="s">
        <v>335</v>
      </c>
      <c r="C10" s="17"/>
      <c r="D10" s="17"/>
    </row>
    <row r="11" spans="1:4" ht="54" customHeight="1" x14ac:dyDescent="0.2">
      <c r="A11" s="10" t="s">
        <v>15</v>
      </c>
      <c r="B11" s="16" t="s">
        <v>336</v>
      </c>
      <c r="C11" s="17"/>
      <c r="D11" s="17"/>
    </row>
    <row r="12" spans="1:4" ht="54" customHeight="1" x14ac:dyDescent="0.2">
      <c r="A12" s="10" t="s">
        <v>16</v>
      </c>
      <c r="B12" s="16" t="s">
        <v>337</v>
      </c>
      <c r="C12" s="17"/>
      <c r="D12" s="17"/>
    </row>
    <row r="13" spans="1:4" ht="54" customHeight="1" x14ac:dyDescent="0.2">
      <c r="A13" s="10" t="s">
        <v>338</v>
      </c>
      <c r="B13" s="16" t="s">
        <v>339</v>
      </c>
      <c r="C13" s="17"/>
      <c r="D13" s="17"/>
    </row>
    <row r="14" spans="1:4" ht="54" customHeight="1" x14ac:dyDescent="0.2">
      <c r="A14" s="10" t="s">
        <v>340</v>
      </c>
      <c r="B14" s="16" t="s">
        <v>341</v>
      </c>
      <c r="C14" s="17"/>
      <c r="D14" s="17"/>
    </row>
  </sheetData>
  <mergeCells count="12">
    <mergeCell ref="B10:D10"/>
    <mergeCell ref="A1:D1"/>
    <mergeCell ref="B11:D11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showGridLines="0" workbookViewId="0"/>
  </sheetViews>
  <sheetFormatPr baseColWidth="10" defaultColWidth="8.83203125" defaultRowHeight="15" x14ac:dyDescent="0.2"/>
  <cols>
    <col min="1" max="2" width="34" customWidth="1"/>
    <col min="3" max="3" width="74" customWidth="1"/>
  </cols>
  <sheetData>
    <row r="1" spans="1:3" ht="21" x14ac:dyDescent="0.25">
      <c r="A1" s="15" t="s">
        <v>342</v>
      </c>
      <c r="B1" s="13"/>
      <c r="C1" s="13"/>
    </row>
    <row r="3" spans="1:3" x14ac:dyDescent="0.2">
      <c r="A3" s="11" t="s">
        <v>301</v>
      </c>
      <c r="B3" s="11" t="s">
        <v>343</v>
      </c>
      <c r="C3" s="11" t="s">
        <v>344</v>
      </c>
    </row>
    <row r="4" spans="1:3" ht="48" customHeight="1" x14ac:dyDescent="0.2">
      <c r="A4" s="6" t="s">
        <v>345</v>
      </c>
      <c r="B4" s="6" t="s">
        <v>346</v>
      </c>
      <c r="C4" s="6" t="s">
        <v>347</v>
      </c>
    </row>
    <row r="5" spans="1:3" ht="48" customHeight="1" x14ac:dyDescent="0.2">
      <c r="A5" s="4" t="s">
        <v>8</v>
      </c>
      <c r="B5" s="4" t="s">
        <v>348</v>
      </c>
      <c r="C5" s="4" t="s">
        <v>349</v>
      </c>
    </row>
    <row r="6" spans="1:3" ht="48" customHeight="1" x14ac:dyDescent="0.2">
      <c r="A6" s="6" t="s">
        <v>350</v>
      </c>
      <c r="B6" s="6" t="s">
        <v>351</v>
      </c>
      <c r="C6" s="6" t="s">
        <v>352</v>
      </c>
    </row>
    <row r="7" spans="1:3" ht="48" customHeight="1" x14ac:dyDescent="0.2">
      <c r="A7" s="4" t="s">
        <v>353</v>
      </c>
      <c r="B7" s="4" t="s">
        <v>351</v>
      </c>
      <c r="C7" s="4" t="s">
        <v>354</v>
      </c>
    </row>
    <row r="8" spans="1:3" ht="48" customHeight="1" x14ac:dyDescent="0.2">
      <c r="A8" s="6" t="s">
        <v>355</v>
      </c>
      <c r="B8" s="6" t="s">
        <v>356</v>
      </c>
      <c r="C8" s="6" t="s">
        <v>357</v>
      </c>
    </row>
    <row r="9" spans="1:3" ht="48" customHeight="1" x14ac:dyDescent="0.2">
      <c r="A9" s="4" t="s">
        <v>358</v>
      </c>
      <c r="B9" s="4" t="s">
        <v>356</v>
      </c>
      <c r="C9" s="4" t="s">
        <v>359</v>
      </c>
    </row>
    <row r="10" spans="1:3" ht="48" customHeight="1" x14ac:dyDescent="0.2">
      <c r="A10" s="6" t="s">
        <v>13</v>
      </c>
      <c r="B10" s="6" t="s">
        <v>360</v>
      </c>
      <c r="C10" s="6" t="s">
        <v>361</v>
      </c>
    </row>
    <row r="11" spans="1:3" ht="48" customHeight="1" x14ac:dyDescent="0.2">
      <c r="A11" s="4" t="s">
        <v>14</v>
      </c>
      <c r="B11" s="4" t="s">
        <v>362</v>
      </c>
      <c r="C11" s="4" t="s">
        <v>363</v>
      </c>
    </row>
    <row r="12" spans="1:3" ht="48" customHeight="1" x14ac:dyDescent="0.2">
      <c r="A12" s="6" t="s">
        <v>15</v>
      </c>
      <c r="B12" s="6" t="s">
        <v>362</v>
      </c>
      <c r="C12" s="6" t="s">
        <v>364</v>
      </c>
    </row>
    <row r="13" spans="1:3" ht="48" customHeight="1" x14ac:dyDescent="0.2">
      <c r="A13" s="4" t="s">
        <v>16</v>
      </c>
      <c r="B13" s="4" t="s">
        <v>365</v>
      </c>
      <c r="C13" s="4" t="s">
        <v>366</v>
      </c>
    </row>
    <row r="14" spans="1:3" ht="48" customHeight="1" x14ac:dyDescent="0.2">
      <c r="A14" s="6" t="s">
        <v>17</v>
      </c>
      <c r="B14" s="6" t="s">
        <v>362</v>
      </c>
      <c r="C14" s="6" t="s">
        <v>367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Risk &amp; Controls Matrix</vt:lpstr>
      <vt:lpstr>Guardrail Overview</vt:lpstr>
      <vt:lpstr>Framework Crosswalk</vt:lpstr>
      <vt:lpstr>Risk Rating Template</vt:lpstr>
      <vt:lpstr>Method &amp; Notes</vt:lpstr>
      <vt:lpstr>Framework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Agentic Mesh Risk &amp; Controls Framework</dc:title>
  <dc:subject>Gateway Registry Pattern and Four Production Guardrails</dc:subject>
  <dc:creator>OpenAI</dc:creator>
  <dc:description>Risk and controls matrix with cross-framework mapping.</dc:description>
  <cp:lastModifiedBy>Microsoft Office User</cp:lastModifiedBy>
  <dcterms:created xsi:type="dcterms:W3CDTF">2026-09-13T17:56:17Z</dcterms:created>
  <dcterms:modified xsi:type="dcterms:W3CDTF">2026-09-28T21:39:56Z</dcterms:modified>
</cp:coreProperties>
</file>